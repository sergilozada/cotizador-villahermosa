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tho\Downloads\"/>
    </mc:Choice>
  </mc:AlternateContent>
  <xr:revisionPtr revIDLastSave="0" documentId="13_ncr:1_{CBBED77B-009F-4661-922A-0F68197C68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OS 2DA ETAPA - FIN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nwk9KrbvEbFds09GtdQ3wa1goWpSubOoDo90beevKm4="/>
    </ext>
  </extLst>
</workbook>
</file>

<file path=xl/calcChain.xml><?xml version="1.0" encoding="utf-8"?>
<calcChain xmlns="http://schemas.openxmlformats.org/spreadsheetml/2006/main">
  <c r="H106" i="1" l="1"/>
  <c r="J106" i="1" s="1"/>
  <c r="J105" i="1"/>
  <c r="H105" i="1"/>
  <c r="H104" i="1"/>
  <c r="J104" i="1" s="1"/>
  <c r="H103" i="1"/>
  <c r="J103" i="1" s="1"/>
  <c r="H102" i="1"/>
  <c r="J102" i="1" s="1"/>
  <c r="H101" i="1"/>
  <c r="J101" i="1" s="1"/>
  <c r="H100" i="1"/>
  <c r="J100" i="1" s="1"/>
  <c r="J99" i="1"/>
  <c r="H99" i="1"/>
  <c r="H98" i="1"/>
  <c r="J98" i="1" s="1"/>
  <c r="H97" i="1"/>
  <c r="J97" i="1" s="1"/>
  <c r="H96" i="1"/>
  <c r="J96" i="1" s="1"/>
  <c r="H95" i="1"/>
  <c r="J95" i="1" s="1"/>
  <c r="H94" i="1"/>
  <c r="J94" i="1" s="1"/>
  <c r="J93" i="1"/>
  <c r="H93" i="1"/>
  <c r="H92" i="1"/>
  <c r="J92" i="1" s="1"/>
  <c r="H91" i="1"/>
  <c r="J91" i="1" s="1"/>
  <c r="H90" i="1"/>
  <c r="J90" i="1" s="1"/>
  <c r="H89" i="1"/>
  <c r="J89" i="1" s="1"/>
  <c r="H88" i="1"/>
  <c r="J88" i="1" s="1"/>
  <c r="J87" i="1"/>
  <c r="H87" i="1"/>
  <c r="H86" i="1"/>
  <c r="J86" i="1" s="1"/>
  <c r="H85" i="1"/>
  <c r="J85" i="1" s="1"/>
  <c r="H84" i="1"/>
  <c r="J84" i="1" s="1"/>
  <c r="H83" i="1"/>
  <c r="J83" i="1" s="1"/>
  <c r="H82" i="1"/>
  <c r="J82" i="1" s="1"/>
  <c r="J81" i="1"/>
  <c r="H81" i="1"/>
  <c r="H80" i="1"/>
  <c r="J80" i="1" s="1"/>
  <c r="H79" i="1"/>
  <c r="J79" i="1" s="1"/>
  <c r="H78" i="1"/>
  <c r="J78" i="1" s="1"/>
  <c r="H77" i="1"/>
  <c r="J77" i="1" s="1"/>
  <c r="H76" i="1"/>
  <c r="J76" i="1" s="1"/>
  <c r="J75" i="1"/>
  <c r="H75" i="1"/>
  <c r="H74" i="1"/>
  <c r="J74" i="1" s="1"/>
  <c r="H73" i="1"/>
  <c r="J73" i="1" s="1"/>
  <c r="H72" i="1"/>
  <c r="J72" i="1" s="1"/>
  <c r="H71" i="1"/>
  <c r="J71" i="1" s="1"/>
  <c r="H70" i="1"/>
  <c r="J70" i="1" s="1"/>
  <c r="J69" i="1"/>
  <c r="H69" i="1"/>
  <c r="H68" i="1"/>
  <c r="J68" i="1" s="1"/>
  <c r="H67" i="1"/>
  <c r="J67" i="1" s="1"/>
  <c r="H66" i="1"/>
  <c r="J66" i="1" s="1"/>
  <c r="H65" i="1"/>
  <c r="J65" i="1" s="1"/>
  <c r="H64" i="1"/>
  <c r="J64" i="1" s="1"/>
  <c r="J63" i="1"/>
  <c r="H63" i="1"/>
  <c r="H62" i="1"/>
  <c r="J62" i="1" s="1"/>
  <c r="H61" i="1"/>
  <c r="J61" i="1" s="1"/>
  <c r="H60" i="1"/>
  <c r="J60" i="1" s="1"/>
  <c r="H59" i="1"/>
  <c r="J59" i="1" s="1"/>
  <c r="H58" i="1"/>
  <c r="J58" i="1" s="1"/>
  <c r="J57" i="1"/>
  <c r="H57" i="1"/>
  <c r="H56" i="1"/>
  <c r="J56" i="1" s="1"/>
  <c r="H55" i="1"/>
  <c r="J55" i="1" s="1"/>
  <c r="H54" i="1"/>
  <c r="J54" i="1" s="1"/>
  <c r="H53" i="1"/>
  <c r="J53" i="1" s="1"/>
  <c r="H52" i="1"/>
  <c r="J52" i="1" s="1"/>
  <c r="J51" i="1"/>
  <c r="H51" i="1"/>
  <c r="H50" i="1"/>
  <c r="J50" i="1" s="1"/>
  <c r="H49" i="1"/>
  <c r="J49" i="1" s="1"/>
  <c r="H48" i="1"/>
  <c r="J48" i="1" s="1"/>
  <c r="H47" i="1"/>
  <c r="J47" i="1" s="1"/>
  <c r="H46" i="1"/>
  <c r="J46" i="1" s="1"/>
  <c r="J45" i="1"/>
  <c r="H45" i="1"/>
  <c r="H44" i="1"/>
  <c r="J44" i="1" s="1"/>
  <c r="H43" i="1"/>
  <c r="J43" i="1" s="1"/>
  <c r="H42" i="1"/>
  <c r="J42" i="1" s="1"/>
  <c r="H41" i="1"/>
  <c r="J41" i="1" s="1"/>
  <c r="H40" i="1"/>
  <c r="J40" i="1" s="1"/>
  <c r="J39" i="1"/>
  <c r="H39" i="1"/>
  <c r="H38" i="1"/>
  <c r="J38" i="1" s="1"/>
  <c r="H37" i="1"/>
  <c r="J37" i="1" s="1"/>
  <c r="H36" i="1"/>
  <c r="J36" i="1" s="1"/>
  <c r="H35" i="1"/>
  <c r="J35" i="1" s="1"/>
  <c r="H34" i="1"/>
  <c r="J34" i="1" s="1"/>
  <c r="J33" i="1"/>
  <c r="H33" i="1"/>
  <c r="H32" i="1"/>
  <c r="J32" i="1" s="1"/>
  <c r="H31" i="1"/>
  <c r="J31" i="1" s="1"/>
  <c r="H30" i="1"/>
  <c r="J30" i="1" s="1"/>
  <c r="H29" i="1"/>
  <c r="J29" i="1" s="1"/>
  <c r="J28" i="1"/>
  <c r="H27" i="1"/>
  <c r="J27" i="1" s="1"/>
  <c r="H26" i="1"/>
  <c r="J26" i="1" s="1"/>
  <c r="H25" i="1"/>
  <c r="J25" i="1" s="1"/>
  <c r="J24" i="1"/>
  <c r="H24" i="1"/>
  <c r="H23" i="1"/>
  <c r="J23" i="1" s="1"/>
  <c r="H22" i="1"/>
  <c r="J22" i="1" s="1"/>
  <c r="H21" i="1"/>
  <c r="J21" i="1" s="1"/>
  <c r="H20" i="1"/>
  <c r="J20" i="1" s="1"/>
  <c r="H19" i="1"/>
  <c r="J19" i="1" s="1"/>
  <c r="J18" i="1"/>
  <c r="H18" i="1"/>
  <c r="H17" i="1"/>
  <c r="J17" i="1" s="1"/>
  <c r="H16" i="1"/>
  <c r="J16" i="1" s="1"/>
  <c r="H15" i="1"/>
  <c r="J15" i="1" s="1"/>
  <c r="H14" i="1"/>
  <c r="J14" i="1" s="1"/>
  <c r="H13" i="1"/>
  <c r="J13" i="1" s="1"/>
  <c r="J12" i="1"/>
  <c r="H12" i="1"/>
  <c r="H11" i="1"/>
  <c r="J11" i="1" s="1"/>
  <c r="P10" i="1"/>
  <c r="R10" i="1" s="1"/>
  <c r="U10" i="1" s="1"/>
  <c r="V10" i="1" s="1"/>
  <c r="H10" i="1"/>
  <c r="J10" i="1" s="1"/>
  <c r="R9" i="1"/>
  <c r="U9" i="1" s="1"/>
  <c r="V9" i="1" s="1"/>
  <c r="P9" i="1"/>
  <c r="H9" i="1"/>
  <c r="J9" i="1" s="1"/>
  <c r="P8" i="1"/>
  <c r="R8" i="1" s="1"/>
  <c r="U8" i="1" s="1"/>
  <c r="V8" i="1" s="1"/>
  <c r="H8" i="1"/>
  <c r="J8" i="1" s="1"/>
  <c r="R7" i="1"/>
  <c r="U7" i="1" s="1"/>
  <c r="V7" i="1" s="1"/>
  <c r="P7" i="1"/>
  <c r="H7" i="1"/>
  <c r="J7" i="1" s="1"/>
  <c r="P6" i="1"/>
  <c r="R6" i="1" s="1"/>
  <c r="U6" i="1" s="1"/>
  <c r="V6" i="1" s="1"/>
  <c r="H6" i="1"/>
  <c r="J6" i="1" s="1"/>
  <c r="R5" i="1"/>
  <c r="U5" i="1" s="1"/>
  <c r="V5" i="1" s="1"/>
  <c r="P5" i="1"/>
  <c r="H5" i="1"/>
  <c r="J5" i="1" s="1"/>
  <c r="H4" i="1"/>
  <c r="J4" i="1" s="1"/>
  <c r="H3" i="1"/>
  <c r="J3" i="1" s="1"/>
  <c r="H2" i="1"/>
</calcChain>
</file>

<file path=xl/sharedStrings.xml><?xml version="1.0" encoding="utf-8"?>
<sst xmlns="http://schemas.openxmlformats.org/spreadsheetml/2006/main" count="233" uniqueCount="39">
  <si>
    <t>N°</t>
  </si>
  <si>
    <t>MZA</t>
  </si>
  <si>
    <t>LOTE</t>
  </si>
  <si>
    <t>AREA</t>
  </si>
  <si>
    <t>UBICACIÓN</t>
  </si>
  <si>
    <t>PRECIO LISTA</t>
  </si>
  <si>
    <t>DSCTO POR PRE-VENTA</t>
  </si>
  <si>
    <t>PRECIO FINAL</t>
  </si>
  <si>
    <t>INICIAL</t>
  </si>
  <si>
    <t>84 CUOTAS</t>
  </si>
  <si>
    <t>G</t>
  </si>
  <si>
    <t>ESQUINA</t>
  </si>
  <si>
    <t>ESTANDAR</t>
  </si>
  <si>
    <t>empresa</t>
  </si>
  <si>
    <t>asesor</t>
  </si>
  <si>
    <t>descuento de 5000 soles</t>
  </si>
  <si>
    <t>descuento por lanzamineto</t>
  </si>
  <si>
    <t>3 mil soles de asesor</t>
  </si>
  <si>
    <t>Precio Final</t>
  </si>
  <si>
    <t>Cuotas</t>
  </si>
  <si>
    <t>estandar</t>
  </si>
  <si>
    <t>estandar frente al parque</t>
  </si>
  <si>
    <t>esquina estandar</t>
  </si>
  <si>
    <t>FRENTE CLUB HOUSE</t>
  </si>
  <si>
    <t>esquina ft parque</t>
  </si>
  <si>
    <t>FRENTE OTROS FINES</t>
  </si>
  <si>
    <t>ESTANDAR FRENTE CLUB HOUSE</t>
  </si>
  <si>
    <t>ESQUINA FRENTE CLUB HOUSE</t>
  </si>
  <si>
    <t>H</t>
  </si>
  <si>
    <t>ESQ. OTROS FINES</t>
  </si>
  <si>
    <t>LOTE OTROS FINES</t>
  </si>
  <si>
    <t>ESQ.FRENTE PARQ-O.FINES</t>
  </si>
  <si>
    <t>ESQ.FRENTE A PARQ-O.FINES</t>
  </si>
  <si>
    <t>I</t>
  </si>
  <si>
    <t>J</t>
  </si>
  <si>
    <t>ESQ. FRENTE A PARQUE</t>
  </si>
  <si>
    <t>FRENTE PARQUE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</si>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</sst>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8">
    <font>
      <sz val="11"/>
      <color theme="1"/>
      <name val="Aptos Narrow"/>
      <scheme val="minor"/>
    </font>
    <font>
      <b/>
      <sz val="8"/>
      <color theme="1"/>
      <name val="Arial"/>
    </font>
    <font>
      <sz val="11"/>
      <color theme="1"/>
      <name val="Aptos Narrow"/>
    </font>
    <font>
      <sz val="8"/>
      <color theme="1"/>
      <name val="Arial"/>
    </font>
    <font>
      <sz val="8"/>
      <color rgb="FFFFC000"/>
      <name val="Arial"/>
    </font>
    <font>
      <sz val="10"/>
      <color theme="1"/>
      <name val="Aptos Narrow"/>
    </font>
    <font>
      <sz val="8"/>
      <color rgb="FF000000"/>
      <name val="Arial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1" fontId="3" fillId="3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shrinkToFit="1"/>
    </xf>
    <xf numFmtId="2" fontId="4" fillId="4" borderId="1" xfId="0" applyNumberFormat="1" applyFont="1" applyFill="1" applyBorder="1" applyAlignment="1">
      <alignment horizontal="center" vertical="center" shrinkToFit="1"/>
    </xf>
    <xf numFmtId="164" fontId="4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 shrinkToFit="1"/>
    </xf>
    <xf numFmtId="2" fontId="3" fillId="5" borderId="1" xfId="0" applyNumberFormat="1" applyFont="1" applyFill="1" applyBorder="1" applyAlignment="1">
      <alignment horizontal="center" vertical="center" shrinkToFit="1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 shrinkToFit="1"/>
    </xf>
    <xf numFmtId="2" fontId="6" fillId="6" borderId="1" xfId="0" applyNumberFormat="1" applyFont="1" applyFill="1" applyBorder="1" applyAlignment="1">
      <alignment horizontal="center" vertical="center" shrinkToFit="1"/>
    </xf>
    <xf numFmtId="164" fontId="6" fillId="6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72" workbookViewId="0">
      <selection activeCell="W110" sqref="W110"/>
    </sheetView>
  </sheetViews>
  <sheetFormatPr baseColWidth="10" defaultColWidth="12.625" defaultRowHeight="15" customHeight="1"/>
  <cols>
    <col min="1" max="1" width="5" customWidth="1"/>
    <col min="2" max="4" width="11.375" customWidth="1"/>
    <col min="5" max="5" width="22.375" customWidth="1"/>
    <col min="6" max="6" width="12.75" customWidth="1"/>
    <col min="7" max="7" width="16.875" customWidth="1"/>
    <col min="8" max="10" width="11.375" customWidth="1"/>
    <col min="11" max="11" width="8.75" customWidth="1"/>
    <col min="12" max="12" width="2.25" customWidth="1"/>
    <col min="13" max="13" width="22.875" hidden="1" customWidth="1"/>
    <col min="14" max="14" width="3.25" hidden="1" customWidth="1"/>
    <col min="15" max="18" width="4.875" hidden="1" customWidth="1"/>
    <col min="19" max="19" width="17" hidden="1" customWidth="1"/>
    <col min="20" max="20" width="13.5" hidden="1" customWidth="1"/>
    <col min="21" max="22" width="10.625" hidden="1" customWidth="1"/>
    <col min="23" max="26" width="10.625" customWidth="1"/>
  </cols>
  <sheetData>
    <row r="1" spans="1:2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>
      <c r="A2" s="4">
        <v>1</v>
      </c>
      <c r="B2" s="5" t="s">
        <v>10</v>
      </c>
      <c r="C2" s="6">
        <v>1</v>
      </c>
      <c r="D2" s="7">
        <v>200</v>
      </c>
      <c r="E2" s="5" t="s">
        <v>11</v>
      </c>
      <c r="F2" s="8">
        <v>39000</v>
      </c>
      <c r="G2" s="8">
        <v>5000</v>
      </c>
      <c r="H2" s="8">
        <f>$N$7*D2</f>
        <v>35000</v>
      </c>
      <c r="I2" s="8">
        <v>2000</v>
      </c>
      <c r="J2" s="8">
        <v>380.95238095238096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>
      <c r="A3" s="4">
        <v>2</v>
      </c>
      <c r="B3" s="10" t="s">
        <v>10</v>
      </c>
      <c r="C3" s="4">
        <v>2</v>
      </c>
      <c r="D3" s="11">
        <v>200</v>
      </c>
      <c r="E3" s="10" t="s">
        <v>12</v>
      </c>
      <c r="F3" s="12">
        <v>37000</v>
      </c>
      <c r="G3" s="13">
        <v>8000</v>
      </c>
      <c r="H3" s="12">
        <f t="shared" ref="H3:H7" si="0">$N$5*D3</f>
        <v>29000</v>
      </c>
      <c r="I3" s="12">
        <v>2000</v>
      </c>
      <c r="J3" s="12">
        <f t="shared" ref="J3:J106" si="1">(H3-I3)/84</f>
        <v>321.42857142857144</v>
      </c>
      <c r="K3" s="9"/>
      <c r="L3" s="9"/>
      <c r="M3" s="9"/>
      <c r="N3" s="9"/>
      <c r="O3" s="9"/>
      <c r="P3" s="9"/>
      <c r="Q3" s="9"/>
      <c r="R3" s="9"/>
      <c r="S3" s="14" t="s">
        <v>13</v>
      </c>
      <c r="T3" s="14" t="s">
        <v>14</v>
      </c>
      <c r="U3" s="9"/>
      <c r="V3" s="14">
        <v>84</v>
      </c>
      <c r="W3" s="9"/>
      <c r="X3" s="9"/>
      <c r="Y3" s="9"/>
      <c r="Z3" s="9"/>
    </row>
    <row r="4" spans="1:26" ht="14.25">
      <c r="A4" s="4">
        <v>3</v>
      </c>
      <c r="B4" s="10" t="s">
        <v>10</v>
      </c>
      <c r="C4" s="4">
        <v>3</v>
      </c>
      <c r="D4" s="11">
        <v>200</v>
      </c>
      <c r="E4" s="10" t="s">
        <v>12</v>
      </c>
      <c r="F4" s="12">
        <v>37000</v>
      </c>
      <c r="G4" s="13">
        <v>8000</v>
      </c>
      <c r="H4" s="12">
        <f t="shared" si="0"/>
        <v>29000</v>
      </c>
      <c r="I4" s="12">
        <v>2000</v>
      </c>
      <c r="J4" s="12">
        <f t="shared" si="1"/>
        <v>321.42857142857144</v>
      </c>
      <c r="K4" s="9"/>
      <c r="L4" s="9"/>
      <c r="M4" s="29" t="s">
        <v>15</v>
      </c>
      <c r="N4" s="30"/>
      <c r="O4" s="30"/>
      <c r="P4" s="30"/>
      <c r="Q4" s="30"/>
      <c r="R4" s="30"/>
      <c r="S4" s="14" t="s">
        <v>16</v>
      </c>
      <c r="T4" s="14" t="s">
        <v>17</v>
      </c>
      <c r="U4" s="14" t="s">
        <v>18</v>
      </c>
      <c r="V4" s="14" t="s">
        <v>19</v>
      </c>
      <c r="W4" s="9"/>
      <c r="X4" s="9"/>
      <c r="Y4" s="9"/>
      <c r="Z4" s="9"/>
    </row>
    <row r="5" spans="1:26" ht="14.25">
      <c r="A5" s="4">
        <v>4</v>
      </c>
      <c r="B5" s="10" t="s">
        <v>10</v>
      </c>
      <c r="C5" s="4">
        <v>4</v>
      </c>
      <c r="D5" s="11">
        <v>200</v>
      </c>
      <c r="E5" s="10" t="s">
        <v>12</v>
      </c>
      <c r="F5" s="12">
        <v>37000</v>
      </c>
      <c r="G5" s="13">
        <v>8000</v>
      </c>
      <c r="H5" s="12">
        <f t="shared" si="0"/>
        <v>29000</v>
      </c>
      <c r="I5" s="12">
        <v>2000</v>
      </c>
      <c r="J5" s="12">
        <f t="shared" si="1"/>
        <v>321.42857142857144</v>
      </c>
      <c r="K5" s="9"/>
      <c r="L5" s="9"/>
      <c r="M5" s="15" t="s">
        <v>20</v>
      </c>
      <c r="N5" s="16">
        <v>145</v>
      </c>
      <c r="O5" s="17">
        <v>200</v>
      </c>
      <c r="P5" s="16">
        <f t="shared" ref="P5:P10" si="2">N5*O5</f>
        <v>29000</v>
      </c>
      <c r="Q5" s="17">
        <v>8000</v>
      </c>
      <c r="R5" s="16">
        <f t="shared" ref="R5:R10" si="3">P5+Q5</f>
        <v>37000</v>
      </c>
      <c r="S5" s="14">
        <v>5000</v>
      </c>
      <c r="T5" s="14">
        <v>3000</v>
      </c>
      <c r="U5" s="9">
        <f t="shared" ref="U5:U10" si="4">R5-T5-S5</f>
        <v>29000</v>
      </c>
      <c r="V5" s="18">
        <f t="shared" ref="V5:V10" si="5">(U5-2000)/84</f>
        <v>321.42857142857144</v>
      </c>
      <c r="W5" s="9"/>
      <c r="X5" s="9"/>
      <c r="Y5" s="9"/>
      <c r="Z5" s="9"/>
    </row>
    <row r="6" spans="1:26" ht="14.25">
      <c r="A6" s="4">
        <v>5</v>
      </c>
      <c r="B6" s="10" t="s">
        <v>10</v>
      </c>
      <c r="C6" s="4">
        <v>5</v>
      </c>
      <c r="D6" s="11">
        <v>200</v>
      </c>
      <c r="E6" s="10" t="s">
        <v>12</v>
      </c>
      <c r="F6" s="12">
        <v>37000</v>
      </c>
      <c r="G6" s="13">
        <v>8000</v>
      </c>
      <c r="H6" s="12">
        <f t="shared" si="0"/>
        <v>29000</v>
      </c>
      <c r="I6" s="12">
        <v>2000</v>
      </c>
      <c r="J6" s="12">
        <f t="shared" si="1"/>
        <v>321.42857142857144</v>
      </c>
      <c r="K6" s="9"/>
      <c r="L6" s="9"/>
      <c r="M6" s="15" t="s">
        <v>21</v>
      </c>
      <c r="N6" s="16">
        <v>155</v>
      </c>
      <c r="O6" s="17">
        <v>200</v>
      </c>
      <c r="P6" s="16">
        <f t="shared" si="2"/>
        <v>31000</v>
      </c>
      <c r="Q6" s="17">
        <v>8000</v>
      </c>
      <c r="R6" s="16">
        <f t="shared" si="3"/>
        <v>39000</v>
      </c>
      <c r="S6" s="14">
        <v>5000</v>
      </c>
      <c r="T6" s="14">
        <v>3000</v>
      </c>
      <c r="U6" s="9">
        <f t="shared" si="4"/>
        <v>31000</v>
      </c>
      <c r="V6" s="18">
        <f t="shared" si="5"/>
        <v>345.23809523809524</v>
      </c>
      <c r="W6" s="9"/>
      <c r="X6" s="9"/>
      <c r="Y6" s="9"/>
      <c r="Z6" s="9"/>
    </row>
    <row r="7" spans="1:26" ht="14.25">
      <c r="A7" s="4">
        <v>6</v>
      </c>
      <c r="B7" s="10" t="s">
        <v>10</v>
      </c>
      <c r="C7" s="4">
        <v>6</v>
      </c>
      <c r="D7" s="11">
        <v>200</v>
      </c>
      <c r="E7" s="10" t="s">
        <v>12</v>
      </c>
      <c r="F7" s="12">
        <v>37000</v>
      </c>
      <c r="G7" s="13">
        <v>8000</v>
      </c>
      <c r="H7" s="12">
        <f t="shared" si="0"/>
        <v>29000</v>
      </c>
      <c r="I7" s="12">
        <v>2000</v>
      </c>
      <c r="J7" s="12">
        <f t="shared" si="1"/>
        <v>321.42857142857144</v>
      </c>
      <c r="K7" s="9"/>
      <c r="L7" s="9"/>
      <c r="M7" s="15" t="s">
        <v>22</v>
      </c>
      <c r="N7" s="16">
        <v>175</v>
      </c>
      <c r="O7" s="17">
        <v>200</v>
      </c>
      <c r="P7" s="16">
        <f t="shared" si="2"/>
        <v>35000</v>
      </c>
      <c r="Q7" s="17">
        <v>8000</v>
      </c>
      <c r="R7" s="16">
        <f t="shared" si="3"/>
        <v>43000</v>
      </c>
      <c r="S7" s="14">
        <v>5000</v>
      </c>
      <c r="T7" s="14">
        <v>3000</v>
      </c>
      <c r="U7" s="9">
        <f t="shared" si="4"/>
        <v>35000</v>
      </c>
      <c r="V7" s="18">
        <f t="shared" si="5"/>
        <v>392.85714285714283</v>
      </c>
      <c r="W7" s="9"/>
      <c r="X7" s="9"/>
      <c r="Y7" s="9"/>
      <c r="Z7" s="9"/>
    </row>
    <row r="8" spans="1:26" ht="14.25">
      <c r="A8" s="4">
        <v>7</v>
      </c>
      <c r="B8" s="10" t="s">
        <v>10</v>
      </c>
      <c r="C8" s="4">
        <v>7</v>
      </c>
      <c r="D8" s="11">
        <v>200</v>
      </c>
      <c r="E8" s="10" t="s">
        <v>23</v>
      </c>
      <c r="F8" s="12">
        <v>48000</v>
      </c>
      <c r="G8" s="13">
        <v>8000</v>
      </c>
      <c r="H8" s="12">
        <f t="shared" ref="H8:H16" si="6">$N$9*D8</f>
        <v>40000</v>
      </c>
      <c r="I8" s="12">
        <v>2000</v>
      </c>
      <c r="J8" s="12">
        <f t="shared" si="1"/>
        <v>452.38095238095241</v>
      </c>
      <c r="K8" s="9"/>
      <c r="L8" s="9"/>
      <c r="M8" s="15" t="s">
        <v>24</v>
      </c>
      <c r="N8" s="16">
        <v>185</v>
      </c>
      <c r="O8" s="17">
        <v>200</v>
      </c>
      <c r="P8" s="16">
        <f t="shared" si="2"/>
        <v>37000</v>
      </c>
      <c r="Q8" s="17">
        <v>8000</v>
      </c>
      <c r="R8" s="16">
        <f t="shared" si="3"/>
        <v>45000</v>
      </c>
      <c r="S8" s="14">
        <v>5000</v>
      </c>
      <c r="T8" s="14">
        <v>3000</v>
      </c>
      <c r="U8" s="9">
        <f t="shared" si="4"/>
        <v>37000</v>
      </c>
      <c r="V8" s="18">
        <f t="shared" si="5"/>
        <v>416.66666666666669</v>
      </c>
      <c r="W8" s="9"/>
      <c r="X8" s="9"/>
      <c r="Y8" s="9"/>
      <c r="Z8" s="9"/>
    </row>
    <row r="9" spans="1:26" ht="14.25">
      <c r="A9" s="4">
        <v>8</v>
      </c>
      <c r="B9" s="5" t="s">
        <v>10</v>
      </c>
      <c r="C9" s="6">
        <v>8</v>
      </c>
      <c r="D9" s="7">
        <v>200</v>
      </c>
      <c r="E9" s="5" t="s">
        <v>25</v>
      </c>
      <c r="F9" s="8">
        <v>37000</v>
      </c>
      <c r="G9" s="8">
        <v>5000</v>
      </c>
      <c r="H9" s="8">
        <f t="shared" si="6"/>
        <v>40000</v>
      </c>
      <c r="I9" s="8">
        <v>2000</v>
      </c>
      <c r="J9" s="8">
        <f t="shared" si="1"/>
        <v>452.38095238095241</v>
      </c>
      <c r="K9" s="9"/>
      <c r="L9" s="9"/>
      <c r="M9" s="10" t="s">
        <v>26</v>
      </c>
      <c r="N9" s="16">
        <v>200</v>
      </c>
      <c r="O9" s="17">
        <v>200</v>
      </c>
      <c r="P9" s="16">
        <f t="shared" si="2"/>
        <v>40000</v>
      </c>
      <c r="Q9" s="17">
        <v>8000</v>
      </c>
      <c r="R9" s="16">
        <f t="shared" si="3"/>
        <v>48000</v>
      </c>
      <c r="S9" s="14">
        <v>5000</v>
      </c>
      <c r="T9" s="14">
        <v>3000</v>
      </c>
      <c r="U9" s="9">
        <f t="shared" si="4"/>
        <v>40000</v>
      </c>
      <c r="V9" s="18">
        <f t="shared" si="5"/>
        <v>452.38095238095241</v>
      </c>
      <c r="W9" s="9"/>
      <c r="X9" s="9"/>
      <c r="Y9" s="9"/>
      <c r="Z9" s="9"/>
    </row>
    <row r="10" spans="1:26" ht="14.25">
      <c r="A10" s="4">
        <v>9</v>
      </c>
      <c r="B10" s="19" t="s">
        <v>10</v>
      </c>
      <c r="C10" s="20">
        <v>9</v>
      </c>
      <c r="D10" s="21">
        <v>200</v>
      </c>
      <c r="E10" s="19" t="s">
        <v>23</v>
      </c>
      <c r="F10" s="22">
        <v>48000</v>
      </c>
      <c r="G10" s="23">
        <v>8000</v>
      </c>
      <c r="H10" s="22">
        <f t="shared" si="6"/>
        <v>40000</v>
      </c>
      <c r="I10" s="22">
        <v>2000</v>
      </c>
      <c r="J10" s="22">
        <f t="shared" si="1"/>
        <v>452.38095238095241</v>
      </c>
      <c r="K10" s="9"/>
      <c r="L10" s="9"/>
      <c r="M10" s="10" t="s">
        <v>27</v>
      </c>
      <c r="N10" s="16">
        <v>175</v>
      </c>
      <c r="O10" s="17">
        <v>200</v>
      </c>
      <c r="P10" s="16">
        <f t="shared" si="2"/>
        <v>35000</v>
      </c>
      <c r="Q10" s="17">
        <v>8000</v>
      </c>
      <c r="R10" s="16">
        <f t="shared" si="3"/>
        <v>43000</v>
      </c>
      <c r="S10" s="14">
        <v>5000</v>
      </c>
      <c r="T10" s="14">
        <v>3000</v>
      </c>
      <c r="U10" s="9">
        <f t="shared" si="4"/>
        <v>35000</v>
      </c>
      <c r="V10" s="18">
        <f t="shared" si="5"/>
        <v>392.85714285714283</v>
      </c>
      <c r="W10" s="9"/>
      <c r="X10" s="9"/>
      <c r="Y10" s="9"/>
      <c r="Z10" s="9"/>
    </row>
    <row r="11" spans="1:26" ht="14.25">
      <c r="A11" s="4">
        <v>10</v>
      </c>
      <c r="B11" s="10" t="s">
        <v>10</v>
      </c>
      <c r="C11" s="4">
        <v>10</v>
      </c>
      <c r="D11" s="11">
        <v>200</v>
      </c>
      <c r="E11" s="10" t="s">
        <v>23</v>
      </c>
      <c r="F11" s="12">
        <v>48000</v>
      </c>
      <c r="G11" s="13">
        <v>8000</v>
      </c>
      <c r="H11" s="12">
        <f t="shared" si="6"/>
        <v>40000</v>
      </c>
      <c r="I11" s="12">
        <v>2000</v>
      </c>
      <c r="J11" s="12">
        <f t="shared" si="1"/>
        <v>452.38095238095241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>
      <c r="A12" s="4">
        <v>11</v>
      </c>
      <c r="B12" s="10" t="s">
        <v>10</v>
      </c>
      <c r="C12" s="4">
        <v>11</v>
      </c>
      <c r="D12" s="11">
        <v>200</v>
      </c>
      <c r="E12" s="10" t="s">
        <v>23</v>
      </c>
      <c r="F12" s="12">
        <v>48000</v>
      </c>
      <c r="G12" s="13">
        <v>8000</v>
      </c>
      <c r="H12" s="12">
        <f t="shared" si="6"/>
        <v>40000</v>
      </c>
      <c r="I12" s="12">
        <v>2000</v>
      </c>
      <c r="J12" s="12">
        <f t="shared" si="1"/>
        <v>452.38095238095241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>
      <c r="A13" s="4">
        <v>12</v>
      </c>
      <c r="B13" s="10" t="s">
        <v>10</v>
      </c>
      <c r="C13" s="4">
        <v>12</v>
      </c>
      <c r="D13" s="11">
        <v>200</v>
      </c>
      <c r="E13" s="10" t="s">
        <v>23</v>
      </c>
      <c r="F13" s="12">
        <v>48000</v>
      </c>
      <c r="G13" s="13">
        <v>8000</v>
      </c>
      <c r="H13" s="12">
        <f t="shared" si="6"/>
        <v>40000</v>
      </c>
      <c r="I13" s="12">
        <v>2000</v>
      </c>
      <c r="J13" s="12">
        <f t="shared" si="1"/>
        <v>452.38095238095241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>
      <c r="A14" s="4">
        <v>13</v>
      </c>
      <c r="B14" s="10" t="s">
        <v>10</v>
      </c>
      <c r="C14" s="4">
        <v>13</v>
      </c>
      <c r="D14" s="11">
        <v>200</v>
      </c>
      <c r="E14" s="10" t="s">
        <v>23</v>
      </c>
      <c r="F14" s="12">
        <v>48000</v>
      </c>
      <c r="G14" s="13">
        <v>8000</v>
      </c>
      <c r="H14" s="12">
        <f t="shared" si="6"/>
        <v>40000</v>
      </c>
      <c r="I14" s="12">
        <v>2000</v>
      </c>
      <c r="J14" s="12">
        <f t="shared" si="1"/>
        <v>452.38095238095241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>
      <c r="A15" s="4">
        <v>14</v>
      </c>
      <c r="B15" s="10" t="s">
        <v>10</v>
      </c>
      <c r="C15" s="4">
        <v>14</v>
      </c>
      <c r="D15" s="11">
        <v>200</v>
      </c>
      <c r="E15" s="10" t="s">
        <v>23</v>
      </c>
      <c r="F15" s="12">
        <v>48000</v>
      </c>
      <c r="G15" s="13">
        <v>8000</v>
      </c>
      <c r="H15" s="12">
        <f t="shared" si="6"/>
        <v>40000</v>
      </c>
      <c r="I15" s="12">
        <v>2000</v>
      </c>
      <c r="J15" s="12">
        <f t="shared" si="1"/>
        <v>452.38095238095241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>
      <c r="A16" s="4">
        <v>15</v>
      </c>
      <c r="B16" s="10" t="s">
        <v>10</v>
      </c>
      <c r="C16" s="4">
        <v>15</v>
      </c>
      <c r="D16" s="11">
        <v>200</v>
      </c>
      <c r="E16" s="10" t="s">
        <v>23</v>
      </c>
      <c r="F16" s="12">
        <v>48000</v>
      </c>
      <c r="G16" s="13">
        <v>8000</v>
      </c>
      <c r="H16" s="12">
        <f t="shared" si="6"/>
        <v>40000</v>
      </c>
      <c r="I16" s="12">
        <v>2000</v>
      </c>
      <c r="J16" s="12">
        <f t="shared" si="1"/>
        <v>452.38095238095241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>
      <c r="A17" s="4">
        <v>16</v>
      </c>
      <c r="B17" s="10" t="s">
        <v>10</v>
      </c>
      <c r="C17" s="4">
        <v>16</v>
      </c>
      <c r="D17" s="11">
        <v>200</v>
      </c>
      <c r="E17" s="10" t="s">
        <v>12</v>
      </c>
      <c r="F17" s="12">
        <v>37000</v>
      </c>
      <c r="G17" s="13">
        <v>8000</v>
      </c>
      <c r="H17" s="12">
        <f t="shared" ref="H17:H18" si="7">$N$5*D17</f>
        <v>29000</v>
      </c>
      <c r="I17" s="12">
        <v>2000</v>
      </c>
      <c r="J17" s="12">
        <f t="shared" si="1"/>
        <v>321.42857142857144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>
      <c r="A18" s="4">
        <v>17</v>
      </c>
      <c r="B18" s="5" t="s">
        <v>10</v>
      </c>
      <c r="C18" s="6">
        <v>17</v>
      </c>
      <c r="D18" s="7">
        <v>200</v>
      </c>
      <c r="E18" s="5" t="s">
        <v>12</v>
      </c>
      <c r="F18" s="8">
        <v>35000</v>
      </c>
      <c r="G18" s="8">
        <v>5000</v>
      </c>
      <c r="H18" s="8">
        <f t="shared" si="7"/>
        <v>29000</v>
      </c>
      <c r="I18" s="8">
        <v>2000</v>
      </c>
      <c r="J18" s="8">
        <f t="shared" si="1"/>
        <v>321.42857142857144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>
      <c r="A19" s="4">
        <v>18</v>
      </c>
      <c r="B19" s="5" t="s">
        <v>10</v>
      </c>
      <c r="C19" s="6">
        <v>18</v>
      </c>
      <c r="D19" s="7">
        <v>200</v>
      </c>
      <c r="E19" s="5" t="s">
        <v>11</v>
      </c>
      <c r="F19" s="8">
        <v>39000</v>
      </c>
      <c r="G19" s="8">
        <v>5000</v>
      </c>
      <c r="H19" s="8">
        <f t="shared" ref="H19:H20" si="8">$N$7*D19</f>
        <v>35000</v>
      </c>
      <c r="I19" s="8">
        <v>2000</v>
      </c>
      <c r="J19" s="8">
        <f t="shared" si="1"/>
        <v>392.85714285714283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>
      <c r="A20" s="4">
        <v>19</v>
      </c>
      <c r="B20" s="5" t="s">
        <v>28</v>
      </c>
      <c r="C20" s="6">
        <v>1</v>
      </c>
      <c r="D20" s="7">
        <v>202.44</v>
      </c>
      <c r="E20" s="5" t="s">
        <v>11</v>
      </c>
      <c r="F20" s="8">
        <v>39414.800000000003</v>
      </c>
      <c r="G20" s="8">
        <v>5000</v>
      </c>
      <c r="H20" s="8">
        <f t="shared" si="8"/>
        <v>35427</v>
      </c>
      <c r="I20" s="8">
        <v>2000</v>
      </c>
      <c r="J20" s="8">
        <f t="shared" si="1"/>
        <v>397.9404761904762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4">
        <v>20</v>
      </c>
      <c r="B21" s="10" t="s">
        <v>28</v>
      </c>
      <c r="C21" s="4">
        <v>2</v>
      </c>
      <c r="D21" s="11">
        <v>200.03</v>
      </c>
      <c r="E21" s="10" t="s">
        <v>12</v>
      </c>
      <c r="F21" s="12">
        <v>37004.35</v>
      </c>
      <c r="G21" s="13">
        <v>8000</v>
      </c>
      <c r="H21" s="12">
        <f t="shared" ref="H21:H24" si="9">$N$5*D21</f>
        <v>29004.35</v>
      </c>
      <c r="I21" s="12">
        <v>2000</v>
      </c>
      <c r="J21" s="12">
        <f t="shared" si="1"/>
        <v>321.48035714285714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4">
        <v>21</v>
      </c>
      <c r="B22" s="10" t="s">
        <v>28</v>
      </c>
      <c r="C22" s="4">
        <v>3</v>
      </c>
      <c r="D22" s="11">
        <v>200.03</v>
      </c>
      <c r="E22" s="10" t="s">
        <v>12</v>
      </c>
      <c r="F22" s="12">
        <v>37004.35</v>
      </c>
      <c r="G22" s="13">
        <v>8000</v>
      </c>
      <c r="H22" s="12">
        <f t="shared" si="9"/>
        <v>29004.35</v>
      </c>
      <c r="I22" s="12">
        <v>2000</v>
      </c>
      <c r="J22" s="12">
        <f t="shared" si="1"/>
        <v>321.48035714285714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4">
        <v>22</v>
      </c>
      <c r="B23" s="10" t="s">
        <v>28</v>
      </c>
      <c r="C23" s="4">
        <v>4</v>
      </c>
      <c r="D23" s="11">
        <v>200.03</v>
      </c>
      <c r="E23" s="10" t="s">
        <v>12</v>
      </c>
      <c r="F23" s="12">
        <v>37004.35</v>
      </c>
      <c r="G23" s="13">
        <v>8000</v>
      </c>
      <c r="H23" s="12">
        <f t="shared" si="9"/>
        <v>29004.35</v>
      </c>
      <c r="I23" s="12">
        <v>2000</v>
      </c>
      <c r="J23" s="12">
        <f t="shared" si="1"/>
        <v>321.48035714285714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4">
        <v>23</v>
      </c>
      <c r="B24" s="10" t="s">
        <v>28</v>
      </c>
      <c r="C24" s="4">
        <v>5</v>
      </c>
      <c r="D24" s="11">
        <v>200.03</v>
      </c>
      <c r="E24" s="10" t="s">
        <v>12</v>
      </c>
      <c r="F24" s="12">
        <v>37004.35</v>
      </c>
      <c r="G24" s="13">
        <v>8000</v>
      </c>
      <c r="H24" s="12">
        <f t="shared" si="9"/>
        <v>29004.35</v>
      </c>
      <c r="I24" s="12">
        <v>2000</v>
      </c>
      <c r="J24" s="12">
        <f t="shared" si="1"/>
        <v>321.48035714285714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4">
        <v>24</v>
      </c>
      <c r="B25" s="10" t="s">
        <v>28</v>
      </c>
      <c r="C25" s="4">
        <v>6</v>
      </c>
      <c r="D25" s="11">
        <v>202.44</v>
      </c>
      <c r="E25" s="10" t="s">
        <v>11</v>
      </c>
      <c r="F25" s="12">
        <v>43427</v>
      </c>
      <c r="G25" s="13">
        <v>8000</v>
      </c>
      <c r="H25" s="12">
        <f>$N$7*D25</f>
        <v>35427</v>
      </c>
      <c r="I25" s="12">
        <v>2000</v>
      </c>
      <c r="J25" s="12">
        <f t="shared" si="1"/>
        <v>397.9404761904762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4">
        <v>25</v>
      </c>
      <c r="B26" s="24" t="s">
        <v>28</v>
      </c>
      <c r="C26" s="25">
        <v>7</v>
      </c>
      <c r="D26" s="26">
        <v>295.75</v>
      </c>
      <c r="E26" s="24" t="s">
        <v>12</v>
      </c>
      <c r="F26" s="12">
        <v>50883.75</v>
      </c>
      <c r="G26" s="13">
        <v>8000</v>
      </c>
      <c r="H26" s="27">
        <f>$N$5*D26</f>
        <v>42883.75</v>
      </c>
      <c r="I26" s="27">
        <v>2000</v>
      </c>
      <c r="J26" s="12">
        <f t="shared" si="1"/>
        <v>486.71130952380952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4">
        <v>26</v>
      </c>
      <c r="B27" s="5" t="s">
        <v>28</v>
      </c>
      <c r="C27" s="6">
        <v>8</v>
      </c>
      <c r="D27" s="7">
        <v>295.75</v>
      </c>
      <c r="E27" s="5" t="s">
        <v>29</v>
      </c>
      <c r="F27" s="8">
        <v>61192.5</v>
      </c>
      <c r="G27" s="8">
        <v>5000</v>
      </c>
      <c r="H27" s="8">
        <f>$N$8*D27</f>
        <v>54713.75</v>
      </c>
      <c r="I27" s="8">
        <v>2000</v>
      </c>
      <c r="J27" s="8">
        <f t="shared" si="1"/>
        <v>627.54464285714289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4">
        <v>27</v>
      </c>
      <c r="B28" s="5" t="s">
        <v>28</v>
      </c>
      <c r="C28" s="6">
        <v>9</v>
      </c>
      <c r="D28" s="7">
        <v>3612</v>
      </c>
      <c r="E28" s="5" t="s">
        <v>30</v>
      </c>
      <c r="F28" s="8"/>
      <c r="G28" s="8"/>
      <c r="H28" s="8"/>
      <c r="I28" s="8"/>
      <c r="J28" s="8">
        <f t="shared" si="1"/>
        <v>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4">
        <v>28</v>
      </c>
      <c r="B29" s="5" t="s">
        <v>28</v>
      </c>
      <c r="C29" s="6">
        <v>10</v>
      </c>
      <c r="D29" s="7">
        <v>202.44</v>
      </c>
      <c r="E29" s="5" t="s">
        <v>31</v>
      </c>
      <c r="F29" s="8">
        <v>43463.6</v>
      </c>
      <c r="G29" s="8">
        <v>5000</v>
      </c>
      <c r="H29" s="8">
        <f>$N$8*D29</f>
        <v>37451.4</v>
      </c>
      <c r="I29" s="8">
        <v>2000</v>
      </c>
      <c r="J29" s="8">
        <f t="shared" si="1"/>
        <v>422.04047619047623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4">
        <v>29</v>
      </c>
      <c r="B30" s="10" t="s">
        <v>28</v>
      </c>
      <c r="C30" s="4">
        <v>11</v>
      </c>
      <c r="D30" s="11">
        <v>200.03</v>
      </c>
      <c r="E30" s="10" t="s">
        <v>23</v>
      </c>
      <c r="F30" s="12">
        <v>48006</v>
      </c>
      <c r="G30" s="13">
        <v>8000</v>
      </c>
      <c r="H30" s="12">
        <f t="shared" ref="H30:H33" si="10">$N$9*D30</f>
        <v>40006</v>
      </c>
      <c r="I30" s="12">
        <v>2000</v>
      </c>
      <c r="J30" s="12">
        <f t="shared" si="1"/>
        <v>452.45238095238096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4">
        <v>30</v>
      </c>
      <c r="B31" s="10" t="s">
        <v>28</v>
      </c>
      <c r="C31" s="4">
        <v>12</v>
      </c>
      <c r="D31" s="11">
        <v>200.03</v>
      </c>
      <c r="E31" s="10" t="s">
        <v>23</v>
      </c>
      <c r="F31" s="12">
        <v>48006</v>
      </c>
      <c r="G31" s="13">
        <v>8000</v>
      </c>
      <c r="H31" s="12">
        <f t="shared" si="10"/>
        <v>40006</v>
      </c>
      <c r="I31" s="12">
        <v>2000</v>
      </c>
      <c r="J31" s="12">
        <f t="shared" si="1"/>
        <v>452.45238095238096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4">
        <v>31</v>
      </c>
      <c r="B32" s="10" t="s">
        <v>28</v>
      </c>
      <c r="C32" s="4">
        <v>13</v>
      </c>
      <c r="D32" s="11">
        <v>200.03</v>
      </c>
      <c r="E32" s="10" t="s">
        <v>23</v>
      </c>
      <c r="F32" s="12">
        <v>48006</v>
      </c>
      <c r="G32" s="13">
        <v>8000</v>
      </c>
      <c r="H32" s="12">
        <f t="shared" si="10"/>
        <v>40006</v>
      </c>
      <c r="I32" s="12">
        <v>2000</v>
      </c>
      <c r="J32" s="12">
        <f t="shared" si="1"/>
        <v>452.45238095238096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4">
        <v>32</v>
      </c>
      <c r="B33" s="10" t="s">
        <v>28</v>
      </c>
      <c r="C33" s="4">
        <v>14</v>
      </c>
      <c r="D33" s="11">
        <v>200.03</v>
      </c>
      <c r="E33" s="10" t="s">
        <v>23</v>
      </c>
      <c r="F33" s="12">
        <v>48006</v>
      </c>
      <c r="G33" s="13">
        <v>8000</v>
      </c>
      <c r="H33" s="12">
        <f t="shared" si="10"/>
        <v>40006</v>
      </c>
      <c r="I33" s="12">
        <v>2000</v>
      </c>
      <c r="J33" s="12">
        <f t="shared" si="1"/>
        <v>452.45238095238096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4">
        <v>33</v>
      </c>
      <c r="B34" s="5" t="s">
        <v>28</v>
      </c>
      <c r="C34" s="6">
        <v>15</v>
      </c>
      <c r="D34" s="7">
        <v>202.44</v>
      </c>
      <c r="E34" s="5" t="s">
        <v>32</v>
      </c>
      <c r="F34" s="8">
        <v>43463.6</v>
      </c>
      <c r="G34" s="8">
        <v>5000</v>
      </c>
      <c r="H34" s="8">
        <f>$N$8*D34</f>
        <v>37451.4</v>
      </c>
      <c r="I34" s="8">
        <v>2000</v>
      </c>
      <c r="J34" s="8">
        <f t="shared" si="1"/>
        <v>422.04047619047623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4">
        <v>34</v>
      </c>
      <c r="B35" s="10" t="s">
        <v>28</v>
      </c>
      <c r="C35" s="4">
        <v>16</v>
      </c>
      <c r="D35" s="11">
        <v>295.75</v>
      </c>
      <c r="E35" s="10" t="s">
        <v>27</v>
      </c>
      <c r="F35" s="12">
        <v>59756.25</v>
      </c>
      <c r="G35" s="13">
        <v>8000</v>
      </c>
      <c r="H35" s="12">
        <f>$N$10*D35</f>
        <v>51756.25</v>
      </c>
      <c r="I35" s="12">
        <v>2000</v>
      </c>
      <c r="J35" s="12">
        <f t="shared" si="1"/>
        <v>592.33630952380952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4">
        <v>35</v>
      </c>
      <c r="B36" s="24" t="s">
        <v>28</v>
      </c>
      <c r="C36" s="25">
        <v>17</v>
      </c>
      <c r="D36" s="26">
        <v>295.75</v>
      </c>
      <c r="E36" s="24" t="s">
        <v>12</v>
      </c>
      <c r="F36" s="27">
        <v>50883.75</v>
      </c>
      <c r="G36" s="13">
        <v>8000</v>
      </c>
      <c r="H36" s="27">
        <f>$N$5*D36</f>
        <v>42883.75</v>
      </c>
      <c r="I36" s="27">
        <v>2000</v>
      </c>
      <c r="J36" s="12">
        <f t="shared" si="1"/>
        <v>486.71130952380952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4">
        <v>36</v>
      </c>
      <c r="B37" s="5" t="s">
        <v>33</v>
      </c>
      <c r="C37" s="6">
        <v>1</v>
      </c>
      <c r="D37" s="7">
        <v>200</v>
      </c>
      <c r="E37" s="5" t="s">
        <v>11</v>
      </c>
      <c r="F37" s="8">
        <v>39000</v>
      </c>
      <c r="G37" s="8">
        <v>5000</v>
      </c>
      <c r="H37" s="8">
        <f>$N$7*D37</f>
        <v>35000</v>
      </c>
      <c r="I37" s="8">
        <v>2000</v>
      </c>
      <c r="J37" s="8">
        <f t="shared" si="1"/>
        <v>392.85714285714283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4">
        <v>37</v>
      </c>
      <c r="B38" s="10" t="s">
        <v>33</v>
      </c>
      <c r="C38" s="4">
        <v>2</v>
      </c>
      <c r="D38" s="11">
        <v>200</v>
      </c>
      <c r="E38" s="10" t="s">
        <v>12</v>
      </c>
      <c r="F38" s="12">
        <v>37000</v>
      </c>
      <c r="G38" s="13">
        <v>8000</v>
      </c>
      <c r="H38" s="12">
        <f t="shared" ref="H38:H42" si="11">$N$5*D38</f>
        <v>29000</v>
      </c>
      <c r="I38" s="12">
        <v>2000</v>
      </c>
      <c r="J38" s="12">
        <f t="shared" si="1"/>
        <v>321.42857142857144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4">
        <v>38</v>
      </c>
      <c r="B39" s="10" t="s">
        <v>33</v>
      </c>
      <c r="C39" s="4">
        <v>3</v>
      </c>
      <c r="D39" s="11">
        <v>200</v>
      </c>
      <c r="E39" s="10" t="s">
        <v>12</v>
      </c>
      <c r="F39" s="12">
        <v>37000</v>
      </c>
      <c r="G39" s="13">
        <v>8000</v>
      </c>
      <c r="H39" s="12">
        <f t="shared" si="11"/>
        <v>29000</v>
      </c>
      <c r="I39" s="12">
        <v>2000</v>
      </c>
      <c r="J39" s="12">
        <f t="shared" si="1"/>
        <v>321.42857142857144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4">
        <v>39</v>
      </c>
      <c r="B40" s="10" t="s">
        <v>33</v>
      </c>
      <c r="C40" s="4">
        <v>4</v>
      </c>
      <c r="D40" s="11">
        <v>200</v>
      </c>
      <c r="E40" s="10" t="s">
        <v>12</v>
      </c>
      <c r="F40" s="12">
        <v>37000</v>
      </c>
      <c r="G40" s="13">
        <v>8000</v>
      </c>
      <c r="H40" s="12">
        <f t="shared" si="11"/>
        <v>29000</v>
      </c>
      <c r="I40" s="12">
        <v>2000</v>
      </c>
      <c r="J40" s="12">
        <f t="shared" si="1"/>
        <v>321.42857142857144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4">
        <v>40</v>
      </c>
      <c r="B41" s="10" t="s">
        <v>33</v>
      </c>
      <c r="C41" s="4">
        <v>5</v>
      </c>
      <c r="D41" s="11">
        <v>200</v>
      </c>
      <c r="E41" s="10" t="s">
        <v>12</v>
      </c>
      <c r="F41" s="12">
        <v>37000</v>
      </c>
      <c r="G41" s="13">
        <v>8000</v>
      </c>
      <c r="H41" s="12">
        <f t="shared" si="11"/>
        <v>29000</v>
      </c>
      <c r="I41" s="12">
        <v>2000</v>
      </c>
      <c r="J41" s="12">
        <f t="shared" si="1"/>
        <v>321.42857142857144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4">
        <v>41</v>
      </c>
      <c r="B42" s="10" t="s">
        <v>33</v>
      </c>
      <c r="C42" s="4">
        <v>6</v>
      </c>
      <c r="D42" s="11">
        <v>200</v>
      </c>
      <c r="E42" s="10" t="s">
        <v>12</v>
      </c>
      <c r="F42" s="12">
        <v>37000</v>
      </c>
      <c r="G42" s="13">
        <v>8000</v>
      </c>
      <c r="H42" s="12">
        <f t="shared" si="11"/>
        <v>29000</v>
      </c>
      <c r="I42" s="12">
        <v>2000</v>
      </c>
      <c r="J42" s="12">
        <f t="shared" si="1"/>
        <v>321.42857142857144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4">
        <v>42</v>
      </c>
      <c r="B43" s="10" t="s">
        <v>33</v>
      </c>
      <c r="C43" s="4">
        <v>7</v>
      </c>
      <c r="D43" s="11">
        <v>200</v>
      </c>
      <c r="E43" s="10" t="s">
        <v>23</v>
      </c>
      <c r="F43" s="12">
        <v>48000</v>
      </c>
      <c r="G43" s="13">
        <v>8000</v>
      </c>
      <c r="H43" s="12">
        <f t="shared" ref="H43:H51" si="12">$N$9*D43</f>
        <v>40000</v>
      </c>
      <c r="I43" s="12">
        <v>2000</v>
      </c>
      <c r="J43" s="12">
        <f t="shared" si="1"/>
        <v>452.38095238095241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4">
        <v>43</v>
      </c>
      <c r="B44" s="10" t="s">
        <v>33</v>
      </c>
      <c r="C44" s="4">
        <v>8</v>
      </c>
      <c r="D44" s="11">
        <v>200</v>
      </c>
      <c r="E44" s="10" t="s">
        <v>23</v>
      </c>
      <c r="F44" s="12">
        <v>48000</v>
      </c>
      <c r="G44" s="13">
        <v>8000</v>
      </c>
      <c r="H44" s="12">
        <f t="shared" si="12"/>
        <v>40000</v>
      </c>
      <c r="I44" s="12">
        <v>2000</v>
      </c>
      <c r="J44" s="12">
        <f t="shared" si="1"/>
        <v>452.38095238095241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4">
        <v>44</v>
      </c>
      <c r="B45" s="10" t="s">
        <v>33</v>
      </c>
      <c r="C45" s="4">
        <v>9</v>
      </c>
      <c r="D45" s="11">
        <v>200</v>
      </c>
      <c r="E45" s="10" t="s">
        <v>23</v>
      </c>
      <c r="F45" s="12">
        <v>48000</v>
      </c>
      <c r="G45" s="13">
        <v>8000</v>
      </c>
      <c r="H45" s="12">
        <f t="shared" si="12"/>
        <v>40000</v>
      </c>
      <c r="I45" s="12">
        <v>2000</v>
      </c>
      <c r="J45" s="12">
        <f t="shared" si="1"/>
        <v>452.38095238095241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4">
        <v>45</v>
      </c>
      <c r="B46" s="10" t="s">
        <v>33</v>
      </c>
      <c r="C46" s="4">
        <v>10</v>
      </c>
      <c r="D46" s="11">
        <v>200</v>
      </c>
      <c r="E46" s="10" t="s">
        <v>23</v>
      </c>
      <c r="F46" s="12">
        <v>48000</v>
      </c>
      <c r="G46" s="13">
        <v>8000</v>
      </c>
      <c r="H46" s="12">
        <f t="shared" si="12"/>
        <v>40000</v>
      </c>
      <c r="I46" s="12">
        <v>2000</v>
      </c>
      <c r="J46" s="12">
        <f t="shared" si="1"/>
        <v>452.38095238095241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4">
        <v>46</v>
      </c>
      <c r="B47" s="10" t="s">
        <v>33</v>
      </c>
      <c r="C47" s="4">
        <v>11</v>
      </c>
      <c r="D47" s="11">
        <v>200</v>
      </c>
      <c r="E47" s="10" t="s">
        <v>23</v>
      </c>
      <c r="F47" s="12">
        <v>48000</v>
      </c>
      <c r="G47" s="13">
        <v>8000</v>
      </c>
      <c r="H47" s="12">
        <f t="shared" si="12"/>
        <v>40000</v>
      </c>
      <c r="I47" s="12">
        <v>2000</v>
      </c>
      <c r="J47" s="12">
        <f t="shared" si="1"/>
        <v>452.38095238095241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4">
        <v>47</v>
      </c>
      <c r="B48" s="10" t="s">
        <v>33</v>
      </c>
      <c r="C48" s="4">
        <v>12</v>
      </c>
      <c r="D48" s="11">
        <v>200</v>
      </c>
      <c r="E48" s="10" t="s">
        <v>23</v>
      </c>
      <c r="F48" s="12">
        <v>48000</v>
      </c>
      <c r="G48" s="13">
        <v>8000</v>
      </c>
      <c r="H48" s="12">
        <f t="shared" si="12"/>
        <v>40000</v>
      </c>
      <c r="I48" s="12">
        <v>2000</v>
      </c>
      <c r="J48" s="12">
        <f t="shared" si="1"/>
        <v>452.38095238095241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4">
        <v>48</v>
      </c>
      <c r="B49" s="10" t="s">
        <v>33</v>
      </c>
      <c r="C49" s="4">
        <v>13</v>
      </c>
      <c r="D49" s="11">
        <v>200</v>
      </c>
      <c r="E49" s="10" t="s">
        <v>23</v>
      </c>
      <c r="F49" s="12">
        <v>48000</v>
      </c>
      <c r="G49" s="13">
        <v>8000</v>
      </c>
      <c r="H49" s="12">
        <f t="shared" si="12"/>
        <v>40000</v>
      </c>
      <c r="I49" s="12">
        <v>2000</v>
      </c>
      <c r="J49" s="12">
        <f t="shared" si="1"/>
        <v>452.38095238095241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4">
        <v>49</v>
      </c>
      <c r="B50" s="10" t="s">
        <v>33</v>
      </c>
      <c r="C50" s="4">
        <v>14</v>
      </c>
      <c r="D50" s="11">
        <v>200</v>
      </c>
      <c r="E50" s="10" t="s">
        <v>23</v>
      </c>
      <c r="F50" s="12">
        <v>48000</v>
      </c>
      <c r="G50" s="13">
        <v>8000</v>
      </c>
      <c r="H50" s="12">
        <f t="shared" si="12"/>
        <v>40000</v>
      </c>
      <c r="I50" s="12">
        <v>2000</v>
      </c>
      <c r="J50" s="12">
        <f t="shared" si="1"/>
        <v>452.38095238095241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4">
        <v>50</v>
      </c>
      <c r="B51" s="10" t="s">
        <v>33</v>
      </c>
      <c r="C51" s="4">
        <v>15</v>
      </c>
      <c r="D51" s="11">
        <v>200</v>
      </c>
      <c r="E51" s="10" t="s">
        <v>23</v>
      </c>
      <c r="F51" s="12">
        <v>48000</v>
      </c>
      <c r="G51" s="13">
        <v>8000</v>
      </c>
      <c r="H51" s="12">
        <f t="shared" si="12"/>
        <v>40000</v>
      </c>
      <c r="I51" s="12">
        <v>2000</v>
      </c>
      <c r="J51" s="12">
        <f t="shared" si="1"/>
        <v>452.38095238095241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4">
        <v>51</v>
      </c>
      <c r="B52" s="10" t="s">
        <v>33</v>
      </c>
      <c r="C52" s="4">
        <v>16</v>
      </c>
      <c r="D52" s="11">
        <v>200</v>
      </c>
      <c r="E52" s="10" t="s">
        <v>12</v>
      </c>
      <c r="F52" s="12">
        <v>37000</v>
      </c>
      <c r="G52" s="13">
        <v>8000</v>
      </c>
      <c r="H52" s="12">
        <f t="shared" ref="H52:H53" si="13">$N$5*D52</f>
        <v>29000</v>
      </c>
      <c r="I52" s="12">
        <v>2000</v>
      </c>
      <c r="J52" s="12">
        <f t="shared" si="1"/>
        <v>321.42857142857144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4">
        <v>52</v>
      </c>
      <c r="B53" s="10" t="s">
        <v>33</v>
      </c>
      <c r="C53" s="4">
        <v>17</v>
      </c>
      <c r="D53" s="11">
        <v>200</v>
      </c>
      <c r="E53" s="10" t="s">
        <v>12</v>
      </c>
      <c r="F53" s="12">
        <v>37000</v>
      </c>
      <c r="G53" s="13">
        <v>8000</v>
      </c>
      <c r="H53" s="12">
        <f t="shared" si="13"/>
        <v>29000</v>
      </c>
      <c r="I53" s="12">
        <v>2000</v>
      </c>
      <c r="J53" s="12">
        <f t="shared" si="1"/>
        <v>321.42857142857144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4">
        <v>53</v>
      </c>
      <c r="B54" s="5" t="s">
        <v>33</v>
      </c>
      <c r="C54" s="6">
        <v>18</v>
      </c>
      <c r="D54" s="7">
        <v>200</v>
      </c>
      <c r="E54" s="5" t="s">
        <v>11</v>
      </c>
      <c r="F54" s="8">
        <v>39000</v>
      </c>
      <c r="G54" s="8">
        <v>5000</v>
      </c>
      <c r="H54" s="8">
        <f>$N$7*D54</f>
        <v>35000</v>
      </c>
      <c r="I54" s="8">
        <v>2000</v>
      </c>
      <c r="J54" s="8">
        <f t="shared" si="1"/>
        <v>392.85714285714283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4">
        <v>54</v>
      </c>
      <c r="B55" s="5" t="s">
        <v>34</v>
      </c>
      <c r="C55" s="6">
        <v>1</v>
      </c>
      <c r="D55" s="7">
        <v>200</v>
      </c>
      <c r="E55" s="5" t="s">
        <v>35</v>
      </c>
      <c r="F55" s="8">
        <v>38000</v>
      </c>
      <c r="G55" s="8">
        <v>5000</v>
      </c>
      <c r="H55" s="8">
        <f>$N$8*D55</f>
        <v>37000</v>
      </c>
      <c r="I55" s="8">
        <v>2000</v>
      </c>
      <c r="J55" s="8">
        <f t="shared" si="1"/>
        <v>416.66666666666669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4">
        <v>55</v>
      </c>
      <c r="B56" s="5" t="s">
        <v>34</v>
      </c>
      <c r="C56" s="6">
        <v>2</v>
      </c>
      <c r="D56" s="7">
        <v>200</v>
      </c>
      <c r="E56" s="5" t="s">
        <v>36</v>
      </c>
      <c r="F56" s="8">
        <v>32000</v>
      </c>
      <c r="G56" s="8">
        <v>5000</v>
      </c>
      <c r="H56" s="8">
        <f t="shared" ref="H56:H63" si="14">$N$6*D56</f>
        <v>31000</v>
      </c>
      <c r="I56" s="8">
        <v>2000</v>
      </c>
      <c r="J56" s="8">
        <f t="shared" si="1"/>
        <v>345.23809523809524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4">
        <v>56</v>
      </c>
      <c r="B57" s="10" t="s">
        <v>34</v>
      </c>
      <c r="C57" s="4">
        <v>3</v>
      </c>
      <c r="D57" s="11">
        <v>200</v>
      </c>
      <c r="E57" s="10" t="s">
        <v>36</v>
      </c>
      <c r="F57" s="12">
        <v>39000</v>
      </c>
      <c r="G57" s="13">
        <v>8000</v>
      </c>
      <c r="H57" s="12">
        <f t="shared" si="14"/>
        <v>31000</v>
      </c>
      <c r="I57" s="12">
        <v>2000</v>
      </c>
      <c r="J57" s="12">
        <f t="shared" si="1"/>
        <v>345.23809523809524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4">
        <v>57</v>
      </c>
      <c r="B58" s="10" t="s">
        <v>34</v>
      </c>
      <c r="C58" s="4">
        <v>4</v>
      </c>
      <c r="D58" s="11">
        <v>200</v>
      </c>
      <c r="E58" s="10" t="s">
        <v>36</v>
      </c>
      <c r="F58" s="12">
        <v>39000</v>
      </c>
      <c r="G58" s="13">
        <v>8000</v>
      </c>
      <c r="H58" s="12">
        <f t="shared" si="14"/>
        <v>31000</v>
      </c>
      <c r="I58" s="12">
        <v>2000</v>
      </c>
      <c r="J58" s="12">
        <f t="shared" si="1"/>
        <v>345.23809523809524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4">
        <v>58</v>
      </c>
      <c r="B59" s="10" t="s">
        <v>34</v>
      </c>
      <c r="C59" s="4">
        <v>5</v>
      </c>
      <c r="D59" s="11">
        <v>200</v>
      </c>
      <c r="E59" s="10" t="s">
        <v>36</v>
      </c>
      <c r="F59" s="12">
        <v>39000</v>
      </c>
      <c r="G59" s="13">
        <v>8000</v>
      </c>
      <c r="H59" s="12">
        <f t="shared" si="14"/>
        <v>31000</v>
      </c>
      <c r="I59" s="12">
        <v>2000</v>
      </c>
      <c r="J59" s="12">
        <f t="shared" si="1"/>
        <v>345.23809523809524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4">
        <v>59</v>
      </c>
      <c r="B60" s="10" t="s">
        <v>34</v>
      </c>
      <c r="C60" s="4">
        <v>6</v>
      </c>
      <c r="D60" s="11">
        <v>200</v>
      </c>
      <c r="E60" s="10" t="s">
        <v>36</v>
      </c>
      <c r="F60" s="12">
        <v>39000</v>
      </c>
      <c r="G60" s="13">
        <v>8000</v>
      </c>
      <c r="H60" s="12">
        <f t="shared" si="14"/>
        <v>31000</v>
      </c>
      <c r="I60" s="12">
        <v>2000</v>
      </c>
      <c r="J60" s="12">
        <f t="shared" si="1"/>
        <v>345.23809523809524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4">
        <v>60</v>
      </c>
      <c r="B61" s="10" t="s">
        <v>34</v>
      </c>
      <c r="C61" s="4">
        <v>7</v>
      </c>
      <c r="D61" s="11">
        <v>200</v>
      </c>
      <c r="E61" s="10" t="s">
        <v>36</v>
      </c>
      <c r="F61" s="12">
        <v>39000</v>
      </c>
      <c r="G61" s="13">
        <v>8000</v>
      </c>
      <c r="H61" s="12">
        <f t="shared" si="14"/>
        <v>31000</v>
      </c>
      <c r="I61" s="12">
        <v>2000</v>
      </c>
      <c r="J61" s="12">
        <f t="shared" si="1"/>
        <v>345.23809523809524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4">
        <v>61</v>
      </c>
      <c r="B62" s="10" t="s">
        <v>34</v>
      </c>
      <c r="C62" s="4">
        <v>8</v>
      </c>
      <c r="D62" s="11">
        <v>200</v>
      </c>
      <c r="E62" s="10" t="s">
        <v>36</v>
      </c>
      <c r="F62" s="12">
        <v>39000</v>
      </c>
      <c r="G62" s="13">
        <v>8000</v>
      </c>
      <c r="H62" s="12">
        <f t="shared" si="14"/>
        <v>31000</v>
      </c>
      <c r="I62" s="12">
        <v>2000</v>
      </c>
      <c r="J62" s="12">
        <f t="shared" si="1"/>
        <v>345.23809523809524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4">
        <v>62</v>
      </c>
      <c r="B63" s="5" t="s">
        <v>34</v>
      </c>
      <c r="C63" s="6">
        <v>9</v>
      </c>
      <c r="D63" s="7">
        <v>200</v>
      </c>
      <c r="E63" s="5" t="s">
        <v>36</v>
      </c>
      <c r="F63" s="8">
        <v>32000</v>
      </c>
      <c r="G63" s="8">
        <v>5000</v>
      </c>
      <c r="H63" s="8">
        <f t="shared" si="14"/>
        <v>31000</v>
      </c>
      <c r="I63" s="8">
        <v>2000</v>
      </c>
      <c r="J63" s="8">
        <f t="shared" si="1"/>
        <v>345.23809523809524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4">
        <v>63</v>
      </c>
      <c r="B64" s="10" t="s">
        <v>34</v>
      </c>
      <c r="C64" s="4">
        <v>10</v>
      </c>
      <c r="D64" s="11">
        <v>200</v>
      </c>
      <c r="E64" s="10" t="s">
        <v>12</v>
      </c>
      <c r="F64" s="12">
        <v>37000</v>
      </c>
      <c r="G64" s="13">
        <v>8000</v>
      </c>
      <c r="H64" s="12">
        <f t="shared" ref="H64:H71" si="15">$N$5*D64</f>
        <v>29000</v>
      </c>
      <c r="I64" s="12">
        <v>2000</v>
      </c>
      <c r="J64" s="12">
        <f t="shared" si="1"/>
        <v>321.42857142857144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4">
        <v>64</v>
      </c>
      <c r="B65" s="10" t="s">
        <v>34</v>
      </c>
      <c r="C65" s="4">
        <v>11</v>
      </c>
      <c r="D65" s="11">
        <v>200</v>
      </c>
      <c r="E65" s="10" t="s">
        <v>12</v>
      </c>
      <c r="F65" s="12">
        <v>37000</v>
      </c>
      <c r="G65" s="13">
        <v>8000</v>
      </c>
      <c r="H65" s="12">
        <f t="shared" si="15"/>
        <v>29000</v>
      </c>
      <c r="I65" s="12">
        <v>2000</v>
      </c>
      <c r="J65" s="12">
        <f t="shared" si="1"/>
        <v>321.42857142857144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4">
        <v>65</v>
      </c>
      <c r="B66" s="10" t="s">
        <v>34</v>
      </c>
      <c r="C66" s="4">
        <v>12</v>
      </c>
      <c r="D66" s="11">
        <v>200</v>
      </c>
      <c r="E66" s="10" t="s">
        <v>12</v>
      </c>
      <c r="F66" s="12">
        <v>37000</v>
      </c>
      <c r="G66" s="13">
        <v>8000</v>
      </c>
      <c r="H66" s="12">
        <f t="shared" si="15"/>
        <v>29000</v>
      </c>
      <c r="I66" s="12">
        <v>2000</v>
      </c>
      <c r="J66" s="12">
        <f t="shared" si="1"/>
        <v>321.42857142857144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4">
        <v>66</v>
      </c>
      <c r="B67" s="10" t="s">
        <v>34</v>
      </c>
      <c r="C67" s="4">
        <v>13</v>
      </c>
      <c r="D67" s="11">
        <v>200</v>
      </c>
      <c r="E67" s="10" t="s">
        <v>12</v>
      </c>
      <c r="F67" s="12">
        <v>37000</v>
      </c>
      <c r="G67" s="13">
        <v>8000</v>
      </c>
      <c r="H67" s="12">
        <f t="shared" si="15"/>
        <v>29000</v>
      </c>
      <c r="I67" s="12">
        <v>2000</v>
      </c>
      <c r="J67" s="12">
        <f t="shared" si="1"/>
        <v>321.42857142857144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4">
        <v>67</v>
      </c>
      <c r="B68" s="10" t="s">
        <v>34</v>
      </c>
      <c r="C68" s="4">
        <v>14</v>
      </c>
      <c r="D68" s="11">
        <v>200</v>
      </c>
      <c r="E68" s="10" t="s">
        <v>12</v>
      </c>
      <c r="F68" s="12">
        <v>37000</v>
      </c>
      <c r="G68" s="13">
        <v>8000</v>
      </c>
      <c r="H68" s="12">
        <f t="shared" si="15"/>
        <v>29000</v>
      </c>
      <c r="I68" s="12">
        <v>2000</v>
      </c>
      <c r="J68" s="12">
        <f t="shared" si="1"/>
        <v>321.42857142857144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4">
        <v>68</v>
      </c>
      <c r="B69" s="10" t="s">
        <v>34</v>
      </c>
      <c r="C69" s="4">
        <v>15</v>
      </c>
      <c r="D69" s="11">
        <v>200</v>
      </c>
      <c r="E69" s="10" t="s">
        <v>12</v>
      </c>
      <c r="F69" s="12">
        <v>37000</v>
      </c>
      <c r="G69" s="13">
        <v>8000</v>
      </c>
      <c r="H69" s="12">
        <f t="shared" si="15"/>
        <v>29000</v>
      </c>
      <c r="I69" s="12">
        <v>2000</v>
      </c>
      <c r="J69" s="12">
        <f t="shared" si="1"/>
        <v>321.42857142857144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4">
        <v>69</v>
      </c>
      <c r="B70" s="10" t="s">
        <v>34</v>
      </c>
      <c r="C70" s="4">
        <v>16</v>
      </c>
      <c r="D70" s="11">
        <v>200</v>
      </c>
      <c r="E70" s="10" t="s">
        <v>12</v>
      </c>
      <c r="F70" s="12">
        <v>37000</v>
      </c>
      <c r="G70" s="13">
        <v>8000</v>
      </c>
      <c r="H70" s="12">
        <f t="shared" si="15"/>
        <v>29000</v>
      </c>
      <c r="I70" s="12">
        <v>2000</v>
      </c>
      <c r="J70" s="12">
        <f t="shared" si="1"/>
        <v>321.42857142857144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4">
        <v>70</v>
      </c>
      <c r="B71" s="10" t="s">
        <v>34</v>
      </c>
      <c r="C71" s="4">
        <v>17</v>
      </c>
      <c r="D71" s="11">
        <v>200</v>
      </c>
      <c r="E71" s="10" t="s">
        <v>12</v>
      </c>
      <c r="F71" s="12">
        <v>37000</v>
      </c>
      <c r="G71" s="13">
        <v>8000</v>
      </c>
      <c r="H71" s="12">
        <f t="shared" si="15"/>
        <v>29000</v>
      </c>
      <c r="I71" s="12">
        <v>2000</v>
      </c>
      <c r="J71" s="12">
        <f t="shared" si="1"/>
        <v>321.42857142857144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4">
        <v>71</v>
      </c>
      <c r="B72" s="10" t="s">
        <v>34</v>
      </c>
      <c r="C72" s="4">
        <v>18</v>
      </c>
      <c r="D72" s="11">
        <v>200</v>
      </c>
      <c r="E72" s="10" t="s">
        <v>11</v>
      </c>
      <c r="F72" s="12">
        <v>43000</v>
      </c>
      <c r="G72" s="13">
        <v>8000</v>
      </c>
      <c r="H72" s="12">
        <f>$N$7*D72</f>
        <v>35000</v>
      </c>
      <c r="I72" s="12">
        <v>2000</v>
      </c>
      <c r="J72" s="12">
        <f t="shared" si="1"/>
        <v>392.85714285714283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4">
        <v>72</v>
      </c>
      <c r="B73" s="5" t="s">
        <v>37</v>
      </c>
      <c r="C73" s="6">
        <v>1</v>
      </c>
      <c r="D73" s="7">
        <v>202.44</v>
      </c>
      <c r="E73" s="5" t="s">
        <v>35</v>
      </c>
      <c r="F73" s="8">
        <v>38000</v>
      </c>
      <c r="G73" s="8">
        <v>5000</v>
      </c>
      <c r="H73" s="8">
        <f>$N$8*D73</f>
        <v>37451.4</v>
      </c>
      <c r="I73" s="8">
        <v>2000</v>
      </c>
      <c r="J73" s="8">
        <f t="shared" si="1"/>
        <v>422.04047619047623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4">
        <v>73</v>
      </c>
      <c r="B74" s="10" t="s">
        <v>37</v>
      </c>
      <c r="C74" s="4">
        <v>2</v>
      </c>
      <c r="D74" s="11">
        <v>200.03</v>
      </c>
      <c r="E74" s="10" t="s">
        <v>36</v>
      </c>
      <c r="F74" s="12">
        <v>39004.65</v>
      </c>
      <c r="G74" s="13">
        <v>8000</v>
      </c>
      <c r="H74" s="12">
        <f t="shared" ref="H74:H77" si="16">$N$6*D74</f>
        <v>31004.65</v>
      </c>
      <c r="I74" s="12">
        <v>2000</v>
      </c>
      <c r="J74" s="12">
        <f t="shared" si="1"/>
        <v>345.29345238095237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4">
        <v>74</v>
      </c>
      <c r="B75" s="10" t="s">
        <v>37</v>
      </c>
      <c r="C75" s="4">
        <v>3</v>
      </c>
      <c r="D75" s="11">
        <v>200.03</v>
      </c>
      <c r="E75" s="10" t="s">
        <v>36</v>
      </c>
      <c r="F75" s="12">
        <v>39004.65</v>
      </c>
      <c r="G75" s="13">
        <v>8000</v>
      </c>
      <c r="H75" s="12">
        <f t="shared" si="16"/>
        <v>31004.65</v>
      </c>
      <c r="I75" s="12">
        <v>2000</v>
      </c>
      <c r="J75" s="12">
        <f t="shared" si="1"/>
        <v>345.29345238095237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4">
        <v>75</v>
      </c>
      <c r="B76" s="10" t="s">
        <v>37</v>
      </c>
      <c r="C76" s="4">
        <v>4</v>
      </c>
      <c r="D76" s="11">
        <v>200.03</v>
      </c>
      <c r="E76" s="10" t="s">
        <v>36</v>
      </c>
      <c r="F76" s="12">
        <v>39004.65</v>
      </c>
      <c r="G76" s="13">
        <v>8000</v>
      </c>
      <c r="H76" s="12">
        <f t="shared" si="16"/>
        <v>31004.65</v>
      </c>
      <c r="I76" s="12">
        <v>2000</v>
      </c>
      <c r="J76" s="12">
        <f t="shared" si="1"/>
        <v>345.29345238095237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4">
        <v>76</v>
      </c>
      <c r="B77" s="10" t="s">
        <v>37</v>
      </c>
      <c r="C77" s="4">
        <v>5</v>
      </c>
      <c r="D77" s="11">
        <v>200.03</v>
      </c>
      <c r="E77" s="10" t="s">
        <v>36</v>
      </c>
      <c r="F77" s="12">
        <v>39004.65</v>
      </c>
      <c r="G77" s="13">
        <v>8000</v>
      </c>
      <c r="H77" s="12">
        <f t="shared" si="16"/>
        <v>31004.65</v>
      </c>
      <c r="I77" s="12">
        <v>2000</v>
      </c>
      <c r="J77" s="12">
        <f t="shared" si="1"/>
        <v>345.29345238095237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4">
        <v>77</v>
      </c>
      <c r="B78" s="10" t="s">
        <v>37</v>
      </c>
      <c r="C78" s="4">
        <v>6</v>
      </c>
      <c r="D78" s="11">
        <v>202.44</v>
      </c>
      <c r="E78" s="10" t="s">
        <v>35</v>
      </c>
      <c r="F78" s="12">
        <v>45451.4</v>
      </c>
      <c r="G78" s="13">
        <v>8000</v>
      </c>
      <c r="H78" s="12">
        <f>$N$8*D78</f>
        <v>37451.4</v>
      </c>
      <c r="I78" s="12">
        <v>2000</v>
      </c>
      <c r="J78" s="12">
        <f t="shared" si="1"/>
        <v>422.04047619047623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4">
        <v>78</v>
      </c>
      <c r="B79" s="10" t="s">
        <v>37</v>
      </c>
      <c r="C79" s="4">
        <v>7</v>
      </c>
      <c r="D79" s="11">
        <v>200</v>
      </c>
      <c r="E79" s="10" t="s">
        <v>12</v>
      </c>
      <c r="F79" s="12">
        <v>37000</v>
      </c>
      <c r="G79" s="13">
        <v>8000</v>
      </c>
      <c r="H79" s="12">
        <f t="shared" ref="H79:H82" si="17">$N$5*D79</f>
        <v>29000</v>
      </c>
      <c r="I79" s="12">
        <v>2000</v>
      </c>
      <c r="J79" s="12">
        <f t="shared" si="1"/>
        <v>321.42857142857144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4">
        <v>79</v>
      </c>
      <c r="B80" s="10" t="s">
        <v>37</v>
      </c>
      <c r="C80" s="4">
        <v>8</v>
      </c>
      <c r="D80" s="11">
        <v>200</v>
      </c>
      <c r="E80" s="10" t="s">
        <v>12</v>
      </c>
      <c r="F80" s="12">
        <v>37000</v>
      </c>
      <c r="G80" s="13">
        <v>8000</v>
      </c>
      <c r="H80" s="12">
        <f t="shared" si="17"/>
        <v>29000</v>
      </c>
      <c r="I80" s="12">
        <v>2000</v>
      </c>
      <c r="J80" s="12">
        <f t="shared" si="1"/>
        <v>321.42857142857144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4">
        <v>80</v>
      </c>
      <c r="B81" s="10" t="s">
        <v>37</v>
      </c>
      <c r="C81" s="4">
        <v>9</v>
      </c>
      <c r="D81" s="11">
        <v>200</v>
      </c>
      <c r="E81" s="10" t="s">
        <v>12</v>
      </c>
      <c r="F81" s="12">
        <v>37000</v>
      </c>
      <c r="G81" s="13">
        <v>8000</v>
      </c>
      <c r="H81" s="12">
        <f t="shared" si="17"/>
        <v>29000</v>
      </c>
      <c r="I81" s="12">
        <v>2000</v>
      </c>
      <c r="J81" s="12">
        <f t="shared" si="1"/>
        <v>321.42857142857144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4">
        <v>81</v>
      </c>
      <c r="B82" s="10" t="s">
        <v>37</v>
      </c>
      <c r="C82" s="4">
        <v>10</v>
      </c>
      <c r="D82" s="11">
        <v>200</v>
      </c>
      <c r="E82" s="10" t="s">
        <v>12</v>
      </c>
      <c r="F82" s="12">
        <v>37000</v>
      </c>
      <c r="G82" s="13">
        <v>8000</v>
      </c>
      <c r="H82" s="12">
        <f t="shared" si="17"/>
        <v>29000</v>
      </c>
      <c r="I82" s="12">
        <v>2000</v>
      </c>
      <c r="J82" s="12">
        <f t="shared" si="1"/>
        <v>321.42857142857144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4">
        <v>82</v>
      </c>
      <c r="B83" s="10" t="s">
        <v>37</v>
      </c>
      <c r="C83" s="4">
        <v>11</v>
      </c>
      <c r="D83" s="11">
        <v>200</v>
      </c>
      <c r="E83" s="10" t="s">
        <v>11</v>
      </c>
      <c r="F83" s="12">
        <v>43000</v>
      </c>
      <c r="G83" s="13">
        <v>8000</v>
      </c>
      <c r="H83" s="12">
        <f t="shared" ref="H83:H84" si="18">$N$7*D83</f>
        <v>35000</v>
      </c>
      <c r="I83" s="12">
        <v>2000</v>
      </c>
      <c r="J83" s="12">
        <f t="shared" si="1"/>
        <v>392.85714285714283</v>
      </c>
      <c r="K83" s="28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4">
        <v>83</v>
      </c>
      <c r="B84" s="10" t="s">
        <v>37</v>
      </c>
      <c r="C84" s="4">
        <v>12</v>
      </c>
      <c r="D84" s="11">
        <v>200</v>
      </c>
      <c r="E84" s="10" t="s">
        <v>11</v>
      </c>
      <c r="F84" s="12">
        <v>43000</v>
      </c>
      <c r="G84" s="13">
        <v>8000</v>
      </c>
      <c r="H84" s="12">
        <f t="shared" si="18"/>
        <v>35000</v>
      </c>
      <c r="I84" s="12">
        <v>2000</v>
      </c>
      <c r="J84" s="12">
        <f t="shared" si="1"/>
        <v>392.85714285714283</v>
      </c>
      <c r="K84" s="2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4">
        <v>84</v>
      </c>
      <c r="B85" s="10" t="s">
        <v>37</v>
      </c>
      <c r="C85" s="4">
        <v>13</v>
      </c>
      <c r="D85" s="11">
        <v>200</v>
      </c>
      <c r="E85" s="10" t="s">
        <v>12</v>
      </c>
      <c r="F85" s="12">
        <v>37000</v>
      </c>
      <c r="G85" s="13">
        <v>8000</v>
      </c>
      <c r="H85" s="12">
        <f t="shared" ref="H85:H88" si="19">$N$5*D85</f>
        <v>29000</v>
      </c>
      <c r="I85" s="12">
        <v>2000</v>
      </c>
      <c r="J85" s="12">
        <f t="shared" si="1"/>
        <v>321.42857142857144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4">
        <v>85</v>
      </c>
      <c r="B86" s="10" t="s">
        <v>37</v>
      </c>
      <c r="C86" s="4">
        <v>14</v>
      </c>
      <c r="D86" s="11">
        <v>200</v>
      </c>
      <c r="E86" s="10" t="s">
        <v>12</v>
      </c>
      <c r="F86" s="12">
        <v>37000</v>
      </c>
      <c r="G86" s="13">
        <v>8000</v>
      </c>
      <c r="H86" s="12">
        <f t="shared" si="19"/>
        <v>29000</v>
      </c>
      <c r="I86" s="12">
        <v>2000</v>
      </c>
      <c r="J86" s="12">
        <f t="shared" si="1"/>
        <v>321.42857142857144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4">
        <v>86</v>
      </c>
      <c r="B87" s="10" t="s">
        <v>37</v>
      </c>
      <c r="C87" s="4">
        <v>15</v>
      </c>
      <c r="D87" s="11">
        <v>200</v>
      </c>
      <c r="E87" s="10" t="s">
        <v>12</v>
      </c>
      <c r="F87" s="12">
        <v>37000</v>
      </c>
      <c r="G87" s="13">
        <v>8000</v>
      </c>
      <c r="H87" s="12">
        <f t="shared" si="19"/>
        <v>29000</v>
      </c>
      <c r="I87" s="12">
        <v>2000</v>
      </c>
      <c r="J87" s="12">
        <f t="shared" si="1"/>
        <v>321.42857142857144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4">
        <v>87</v>
      </c>
      <c r="B88" s="10" t="s">
        <v>37</v>
      </c>
      <c r="C88" s="4">
        <v>16</v>
      </c>
      <c r="D88" s="11">
        <v>200</v>
      </c>
      <c r="E88" s="10" t="s">
        <v>12</v>
      </c>
      <c r="F88" s="12">
        <v>37000</v>
      </c>
      <c r="G88" s="13">
        <v>8000</v>
      </c>
      <c r="H88" s="12">
        <f t="shared" si="19"/>
        <v>29000</v>
      </c>
      <c r="I88" s="12">
        <v>2000</v>
      </c>
      <c r="J88" s="12">
        <f t="shared" si="1"/>
        <v>321.42857142857144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4">
        <v>88</v>
      </c>
      <c r="B89" s="5" t="s">
        <v>38</v>
      </c>
      <c r="C89" s="6">
        <v>1</v>
      </c>
      <c r="D89" s="7">
        <v>200</v>
      </c>
      <c r="E89" s="5" t="s">
        <v>35</v>
      </c>
      <c r="F89" s="8">
        <v>38000</v>
      </c>
      <c r="G89" s="8">
        <v>5000</v>
      </c>
      <c r="H89" s="8">
        <f>$N$8*D89</f>
        <v>37000</v>
      </c>
      <c r="I89" s="8">
        <v>2000</v>
      </c>
      <c r="J89" s="8">
        <f t="shared" si="1"/>
        <v>416.66666666666669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4">
        <v>89</v>
      </c>
      <c r="B90" s="5" t="s">
        <v>38</v>
      </c>
      <c r="C90" s="6">
        <v>2</v>
      </c>
      <c r="D90" s="7">
        <v>200</v>
      </c>
      <c r="E90" s="5" t="s">
        <v>36</v>
      </c>
      <c r="F90" s="8">
        <v>32000</v>
      </c>
      <c r="G90" s="8">
        <v>5000</v>
      </c>
      <c r="H90" s="8">
        <f t="shared" ref="H90:H97" si="20">$N$6*D90</f>
        <v>31000</v>
      </c>
      <c r="I90" s="8">
        <v>2000</v>
      </c>
      <c r="J90" s="8">
        <f t="shared" si="1"/>
        <v>345.23809523809524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4">
        <v>90</v>
      </c>
      <c r="B91" s="10" t="s">
        <v>38</v>
      </c>
      <c r="C91" s="4">
        <v>3</v>
      </c>
      <c r="D91" s="11">
        <v>200</v>
      </c>
      <c r="E91" s="10" t="s">
        <v>36</v>
      </c>
      <c r="F91" s="12">
        <v>39000</v>
      </c>
      <c r="G91" s="13">
        <v>8000</v>
      </c>
      <c r="H91" s="12">
        <f t="shared" si="20"/>
        <v>31000</v>
      </c>
      <c r="I91" s="12">
        <v>2000</v>
      </c>
      <c r="J91" s="12">
        <f t="shared" si="1"/>
        <v>345.23809523809524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4">
        <v>91</v>
      </c>
      <c r="B92" s="10" t="s">
        <v>38</v>
      </c>
      <c r="C92" s="4">
        <v>4</v>
      </c>
      <c r="D92" s="11">
        <v>200</v>
      </c>
      <c r="E92" s="10" t="s">
        <v>36</v>
      </c>
      <c r="F92" s="12">
        <v>39000</v>
      </c>
      <c r="G92" s="13">
        <v>8000</v>
      </c>
      <c r="H92" s="12">
        <f t="shared" si="20"/>
        <v>31000</v>
      </c>
      <c r="I92" s="12">
        <v>2000</v>
      </c>
      <c r="J92" s="12">
        <f t="shared" si="1"/>
        <v>345.23809523809524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4">
        <v>92</v>
      </c>
      <c r="B93" s="10" t="s">
        <v>38</v>
      </c>
      <c r="C93" s="4">
        <v>5</v>
      </c>
      <c r="D93" s="11">
        <v>200</v>
      </c>
      <c r="E93" s="10" t="s">
        <v>36</v>
      </c>
      <c r="F93" s="12">
        <v>39000</v>
      </c>
      <c r="G93" s="13">
        <v>8000</v>
      </c>
      <c r="H93" s="12">
        <f t="shared" si="20"/>
        <v>31000</v>
      </c>
      <c r="I93" s="12">
        <v>2000</v>
      </c>
      <c r="J93" s="12">
        <f t="shared" si="1"/>
        <v>345.23809523809524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4">
        <v>93</v>
      </c>
      <c r="B94" s="10" t="s">
        <v>38</v>
      </c>
      <c r="C94" s="4">
        <v>6</v>
      </c>
      <c r="D94" s="11">
        <v>200</v>
      </c>
      <c r="E94" s="10" t="s">
        <v>36</v>
      </c>
      <c r="F94" s="12">
        <v>39000</v>
      </c>
      <c r="G94" s="13">
        <v>8000</v>
      </c>
      <c r="H94" s="12">
        <f t="shared" si="20"/>
        <v>31000</v>
      </c>
      <c r="I94" s="12">
        <v>2000</v>
      </c>
      <c r="J94" s="12">
        <f t="shared" si="1"/>
        <v>345.23809523809524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4">
        <v>94</v>
      </c>
      <c r="B95" s="10" t="s">
        <v>38</v>
      </c>
      <c r="C95" s="4">
        <v>7</v>
      </c>
      <c r="D95" s="11">
        <v>200</v>
      </c>
      <c r="E95" s="10" t="s">
        <v>36</v>
      </c>
      <c r="F95" s="12">
        <v>39000</v>
      </c>
      <c r="G95" s="13">
        <v>8000</v>
      </c>
      <c r="H95" s="12">
        <f t="shared" si="20"/>
        <v>31000</v>
      </c>
      <c r="I95" s="12">
        <v>2000</v>
      </c>
      <c r="J95" s="12">
        <f t="shared" si="1"/>
        <v>345.23809523809524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4">
        <v>95</v>
      </c>
      <c r="B96" s="10" t="s">
        <v>38</v>
      </c>
      <c r="C96" s="4">
        <v>8</v>
      </c>
      <c r="D96" s="11">
        <v>200</v>
      </c>
      <c r="E96" s="10" t="s">
        <v>36</v>
      </c>
      <c r="F96" s="12">
        <v>39000</v>
      </c>
      <c r="G96" s="13">
        <v>8000</v>
      </c>
      <c r="H96" s="12">
        <f t="shared" si="20"/>
        <v>31000</v>
      </c>
      <c r="I96" s="12">
        <v>2000</v>
      </c>
      <c r="J96" s="12">
        <f t="shared" si="1"/>
        <v>345.23809523809524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4">
        <v>96</v>
      </c>
      <c r="B97" s="10" t="s">
        <v>38</v>
      </c>
      <c r="C97" s="4">
        <v>9</v>
      </c>
      <c r="D97" s="11">
        <v>200</v>
      </c>
      <c r="E97" s="10" t="s">
        <v>36</v>
      </c>
      <c r="F97" s="12">
        <v>39000</v>
      </c>
      <c r="G97" s="13">
        <v>8000</v>
      </c>
      <c r="H97" s="12">
        <f t="shared" si="20"/>
        <v>31000</v>
      </c>
      <c r="I97" s="12">
        <v>2000</v>
      </c>
      <c r="J97" s="12">
        <f t="shared" si="1"/>
        <v>345.23809523809524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4">
        <v>97</v>
      </c>
      <c r="B98" s="10" t="s">
        <v>38</v>
      </c>
      <c r="C98" s="4">
        <v>10</v>
      </c>
      <c r="D98" s="11">
        <v>200</v>
      </c>
      <c r="E98" s="10" t="s">
        <v>12</v>
      </c>
      <c r="F98" s="12">
        <v>37000</v>
      </c>
      <c r="G98" s="13">
        <v>8000</v>
      </c>
      <c r="H98" s="12">
        <f t="shared" ref="H98:H105" si="21">$N$5*D98</f>
        <v>29000</v>
      </c>
      <c r="I98" s="12">
        <v>2000</v>
      </c>
      <c r="J98" s="12">
        <f t="shared" si="1"/>
        <v>321.42857142857144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4">
        <v>98</v>
      </c>
      <c r="B99" s="10" t="s">
        <v>38</v>
      </c>
      <c r="C99" s="4">
        <v>11</v>
      </c>
      <c r="D99" s="11">
        <v>200</v>
      </c>
      <c r="E99" s="10" t="s">
        <v>12</v>
      </c>
      <c r="F99" s="12">
        <v>37000</v>
      </c>
      <c r="G99" s="13">
        <v>8000</v>
      </c>
      <c r="H99" s="12">
        <f t="shared" si="21"/>
        <v>29000</v>
      </c>
      <c r="I99" s="12">
        <v>2000</v>
      </c>
      <c r="J99" s="12">
        <f t="shared" si="1"/>
        <v>321.42857142857144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4">
        <v>99</v>
      </c>
      <c r="B100" s="10" t="s">
        <v>38</v>
      </c>
      <c r="C100" s="4">
        <v>12</v>
      </c>
      <c r="D100" s="11">
        <v>200</v>
      </c>
      <c r="E100" s="10" t="s">
        <v>12</v>
      </c>
      <c r="F100" s="12">
        <v>37000</v>
      </c>
      <c r="G100" s="13">
        <v>8000</v>
      </c>
      <c r="H100" s="12">
        <f t="shared" si="21"/>
        <v>29000</v>
      </c>
      <c r="I100" s="12">
        <v>2000</v>
      </c>
      <c r="J100" s="12">
        <f t="shared" si="1"/>
        <v>321.42857142857144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4">
        <v>100</v>
      </c>
      <c r="B101" s="10" t="s">
        <v>38</v>
      </c>
      <c r="C101" s="4">
        <v>13</v>
      </c>
      <c r="D101" s="11">
        <v>200</v>
      </c>
      <c r="E101" s="10" t="s">
        <v>12</v>
      </c>
      <c r="F101" s="12">
        <v>37000</v>
      </c>
      <c r="G101" s="13">
        <v>8000</v>
      </c>
      <c r="H101" s="12">
        <f t="shared" si="21"/>
        <v>29000</v>
      </c>
      <c r="I101" s="12">
        <v>2000</v>
      </c>
      <c r="J101" s="12">
        <f t="shared" si="1"/>
        <v>321.42857142857144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4">
        <v>101</v>
      </c>
      <c r="B102" s="10" t="s">
        <v>38</v>
      </c>
      <c r="C102" s="4">
        <v>14</v>
      </c>
      <c r="D102" s="11">
        <v>200</v>
      </c>
      <c r="E102" s="10" t="s">
        <v>12</v>
      </c>
      <c r="F102" s="12">
        <v>37000</v>
      </c>
      <c r="G102" s="13">
        <v>8000</v>
      </c>
      <c r="H102" s="12">
        <f t="shared" si="21"/>
        <v>29000</v>
      </c>
      <c r="I102" s="12">
        <v>2000</v>
      </c>
      <c r="J102" s="12">
        <f t="shared" si="1"/>
        <v>321.42857142857144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4">
        <v>102</v>
      </c>
      <c r="B103" s="10" t="s">
        <v>38</v>
      </c>
      <c r="C103" s="4">
        <v>15</v>
      </c>
      <c r="D103" s="11">
        <v>200</v>
      </c>
      <c r="E103" s="10" t="s">
        <v>12</v>
      </c>
      <c r="F103" s="12">
        <v>37000</v>
      </c>
      <c r="G103" s="13">
        <v>8000</v>
      </c>
      <c r="H103" s="12">
        <f t="shared" si="21"/>
        <v>29000</v>
      </c>
      <c r="I103" s="12">
        <v>2000</v>
      </c>
      <c r="J103" s="12">
        <f t="shared" si="1"/>
        <v>321.42857142857144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4">
        <v>103</v>
      </c>
      <c r="B104" s="10" t="s">
        <v>38</v>
      </c>
      <c r="C104" s="4">
        <v>16</v>
      </c>
      <c r="D104" s="11">
        <v>200</v>
      </c>
      <c r="E104" s="10" t="s">
        <v>12</v>
      </c>
      <c r="F104" s="12">
        <v>37000</v>
      </c>
      <c r="G104" s="13">
        <v>8000</v>
      </c>
      <c r="H104" s="12">
        <f t="shared" si="21"/>
        <v>29000</v>
      </c>
      <c r="I104" s="12">
        <v>2000</v>
      </c>
      <c r="J104" s="12">
        <f t="shared" si="1"/>
        <v>321.42857142857144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4">
        <v>104</v>
      </c>
      <c r="B105" s="10" t="s">
        <v>38</v>
      </c>
      <c r="C105" s="4">
        <v>17</v>
      </c>
      <c r="D105" s="11">
        <v>200</v>
      </c>
      <c r="E105" s="10" t="s">
        <v>12</v>
      </c>
      <c r="F105" s="12">
        <v>37000</v>
      </c>
      <c r="G105" s="13">
        <v>8000</v>
      </c>
      <c r="H105" s="12">
        <f t="shared" si="21"/>
        <v>29000</v>
      </c>
      <c r="I105" s="12">
        <v>2000</v>
      </c>
      <c r="J105" s="12">
        <f t="shared" si="1"/>
        <v>321.42857142857144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4">
        <v>105</v>
      </c>
      <c r="B106" s="10" t="s">
        <v>38</v>
      </c>
      <c r="C106" s="4">
        <v>18</v>
      </c>
      <c r="D106" s="11">
        <v>200</v>
      </c>
      <c r="E106" s="10" t="s">
        <v>11</v>
      </c>
      <c r="F106" s="12">
        <v>43000</v>
      </c>
      <c r="G106" s="13">
        <v>8000</v>
      </c>
      <c r="H106" s="12">
        <f>$N$7*D106</f>
        <v>35000</v>
      </c>
      <c r="I106" s="12">
        <v>2000</v>
      </c>
      <c r="J106" s="12">
        <f t="shared" si="1"/>
        <v>392.85714285714283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M4:R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2DA ETAPA - FINAN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AYT AYT</dc:creator>
  <cp:lastModifiedBy>Sergi Lozada</cp:lastModifiedBy>
  <dcterms:created xsi:type="dcterms:W3CDTF">2026-05-08T20:59:02Z</dcterms:created>
  <dcterms:modified xsi:type="dcterms:W3CDTF">2026-07-07T23:47:26Z</dcterms:modified>
</cp:coreProperties>
</file>