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tho\Downloads\"/>
    </mc:Choice>
  </mc:AlternateContent>
  <xr:revisionPtr revIDLastSave="0" documentId="8_{7068E307-9912-4137-9747-07708BDFD9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D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2" l="1"/>
  <c r="I14" i="2"/>
  <c r="I18" i="2" s="1"/>
  <c r="I27" i="2"/>
  <c r="I31" i="2" s="1"/>
  <c r="D21" i="2"/>
  <c r="D15" i="2" l="1"/>
  <c r="D17" i="2"/>
  <c r="I22" i="2"/>
  <c r="D19" i="2"/>
</calcChain>
</file>

<file path=xl/sharedStrings.xml><?xml version="1.0" encoding="utf-8"?>
<sst xmlns="http://schemas.openxmlformats.org/spreadsheetml/2006/main" count="30" uniqueCount="27">
  <si>
    <t>CODIGO</t>
  </si>
  <si>
    <t xml:space="preserve">    COTIZADOR DE VENTA</t>
  </si>
  <si>
    <t>DIXON GUERRA</t>
  </si>
  <si>
    <t>ELIZBETH VILLANUEVA</t>
  </si>
  <si>
    <t>LISET MARTINEZ</t>
  </si>
  <si>
    <t>YVONNE MONTOYA</t>
  </si>
  <si>
    <t>ASESOR(A)</t>
  </si>
  <si>
    <t>FINANCIADO</t>
  </si>
  <si>
    <t>CLIENTE:</t>
  </si>
  <si>
    <t>JULIO TALAVERA CASTRO</t>
  </si>
  <si>
    <t>SISTEMA:</t>
  </si>
  <si>
    <t>MESES</t>
  </si>
  <si>
    <t>H16</t>
  </si>
  <si>
    <t>PRECIO LISTA:</t>
  </si>
  <si>
    <t>MZ:</t>
  </si>
  <si>
    <t>DSCTO POR LANZAMIENTO:</t>
  </si>
  <si>
    <t>LOTE:</t>
  </si>
  <si>
    <t>PRECIOS FINAL FINANCIADO:</t>
  </si>
  <si>
    <t>ETAPA:</t>
  </si>
  <si>
    <t>INICIAL:</t>
  </si>
  <si>
    <t>UBICACIÓN:</t>
  </si>
  <si>
    <t>VALOR DE CUOTA:</t>
  </si>
  <si>
    <t>METRAJE:</t>
  </si>
  <si>
    <t>AL CONTADO</t>
  </si>
  <si>
    <t>FECHA:</t>
  </si>
  <si>
    <t>DSCTO. AL CONTADO:</t>
  </si>
  <si>
    <t>PRECIOS FINAL AL CONTADO: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</si>
</sst>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S/-280A]\ #,##0.00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b/>
      <sz val="50"/>
      <color rgb="FF2F9299"/>
      <name val="Arial Black"/>
    </font>
    <font>
      <b/>
      <sz val="12"/>
      <color theme="1"/>
      <name val="Arial"/>
    </font>
    <font>
      <b/>
      <sz val="14"/>
      <color theme="1"/>
      <name val="Arial"/>
    </font>
    <font>
      <b/>
      <sz val="28"/>
      <color rgb="FFFFFFFF"/>
      <name val="Arial Black"/>
    </font>
    <font>
      <sz val="1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</font>
    <font>
      <b/>
      <sz val="13"/>
      <color rgb="FFFFFFFF"/>
      <name val="Arial"/>
    </font>
    <font>
      <b/>
      <sz val="13"/>
      <color theme="1"/>
      <name val="Arial"/>
    </font>
    <font>
      <sz val="12"/>
      <color theme="1"/>
      <name val="Arial"/>
    </font>
    <font>
      <sz val="13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9299"/>
        <bgColor rgb="FF2F9299"/>
      </patternFill>
    </fill>
    <fill>
      <patternFill patternType="solid">
        <fgColor rgb="FFFFFF00"/>
        <bgColor rgb="FFFFFF00"/>
      </patternFill>
    </fill>
    <fill>
      <patternFill patternType="solid">
        <fgColor rgb="FF8FD7DC"/>
        <bgColor rgb="FF8FD7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13" fillId="0" borderId="13" xfId="0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Font="1" applyAlignment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10" fillId="0" borderId="0" xfId="0" applyFont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 wrapText="1"/>
    </xf>
    <xf numFmtId="0" fontId="7" fillId="0" borderId="15" xfId="0" applyFont="1" applyBorder="1"/>
    <xf numFmtId="165" fontId="4" fillId="2" borderId="13" xfId="0" applyNumberFormat="1" applyFont="1" applyFill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10" fillId="5" borderId="13" xfId="0" applyNumberFormat="1" applyFont="1" applyFill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1</xdr:row>
      <xdr:rowOff>133350</xdr:rowOff>
    </xdr:from>
    <xdr:ext cx="790575" cy="828676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8334" t="5154" r="5207" b="5154"/>
        <a:stretch/>
      </xdr:blipFill>
      <xdr:spPr>
        <a:xfrm>
          <a:off x="1047750" y="295275"/>
          <a:ext cx="790575" cy="82867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914401</xdr:colOff>
      <xdr:row>25</xdr:row>
      <xdr:rowOff>47625</xdr:rowOff>
    </xdr:from>
    <xdr:ext cx="2895600" cy="1171575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1" y="5133975"/>
          <a:ext cx="2895600" cy="11715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02"/>
  <sheetViews>
    <sheetView showGridLines="0" tabSelected="1" workbookViewId="0">
      <selection activeCell="E1005" sqref="E1005"/>
    </sheetView>
  </sheetViews>
  <sheetFormatPr baseColWidth="10" defaultColWidth="12.5703125" defaultRowHeight="15.75" customHeight="1" x14ac:dyDescent="0.2"/>
  <cols>
    <col min="2" max="2" width="4.28515625" customWidth="1"/>
    <col min="3" max="3" width="17" customWidth="1"/>
    <col min="4" max="4" width="19.5703125" customWidth="1"/>
    <col min="5" max="5" width="18.140625" customWidth="1"/>
    <col min="6" max="6" width="5" customWidth="1"/>
    <col min="7" max="7" width="5.5703125" customWidth="1"/>
    <col min="8" max="8" width="34.42578125" customWidth="1"/>
    <col min="9" max="9" width="16" customWidth="1"/>
    <col min="10" max="10" width="10.42578125" customWidth="1"/>
    <col min="11" max="11" width="12.85546875" customWidth="1"/>
    <col min="12" max="12" width="5.5703125" customWidth="1"/>
    <col min="13" max="13" width="4.140625" customWidth="1"/>
    <col min="15" max="29" width="12.5703125" hidden="1"/>
  </cols>
  <sheetData>
    <row r="1" spans="1:29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.75" x14ac:dyDescent="0.2">
      <c r="A3" s="1"/>
      <c r="B3" s="5"/>
      <c r="C3" s="32" t="s">
        <v>1</v>
      </c>
      <c r="D3" s="31"/>
      <c r="E3" s="31"/>
      <c r="F3" s="31"/>
      <c r="G3" s="31"/>
      <c r="H3" s="31"/>
      <c r="I3" s="31"/>
      <c r="J3" s="31"/>
      <c r="K3" s="31"/>
      <c r="L3" s="31"/>
      <c r="M3" s="6"/>
      <c r="N3" s="1"/>
      <c r="O3" s="1"/>
      <c r="P3" s="1"/>
      <c r="Q3" s="1"/>
      <c r="R3" s="1"/>
      <c r="S3" s="1"/>
      <c r="T3" s="1"/>
      <c r="U3" s="1"/>
      <c r="V3" s="7" t="s">
        <v>2</v>
      </c>
      <c r="W3" s="1"/>
      <c r="X3" s="1"/>
      <c r="Y3" s="8">
        <v>12</v>
      </c>
      <c r="Z3" s="1"/>
      <c r="AA3" s="1"/>
      <c r="AB3" s="1"/>
      <c r="AC3" s="1"/>
    </row>
    <row r="4" spans="1:29" ht="12.75" x14ac:dyDescent="0.2">
      <c r="A4" s="1"/>
      <c r="B4" s="5"/>
      <c r="C4" s="31"/>
      <c r="D4" s="31"/>
      <c r="E4" s="31"/>
      <c r="F4" s="31"/>
      <c r="G4" s="31"/>
      <c r="H4" s="31"/>
      <c r="I4" s="31"/>
      <c r="J4" s="31"/>
      <c r="K4" s="31"/>
      <c r="L4" s="31"/>
      <c r="M4" s="6"/>
      <c r="N4" s="1"/>
      <c r="O4" s="1"/>
      <c r="P4" s="1"/>
      <c r="Q4" s="1"/>
      <c r="R4" s="1"/>
      <c r="S4" s="1"/>
      <c r="T4" s="1"/>
      <c r="U4" s="1"/>
      <c r="V4" s="7" t="s">
        <v>3</v>
      </c>
      <c r="W4" s="1"/>
      <c r="X4" s="1"/>
      <c r="Y4" s="8">
        <v>24</v>
      </c>
      <c r="Z4" s="1"/>
      <c r="AA4" s="1"/>
      <c r="AB4" s="1"/>
      <c r="AC4" s="1"/>
    </row>
    <row r="5" spans="1:29" ht="12.75" x14ac:dyDescent="0.2">
      <c r="A5" s="1"/>
      <c r="B5" s="5"/>
      <c r="C5" s="31"/>
      <c r="D5" s="31"/>
      <c r="E5" s="31"/>
      <c r="F5" s="31"/>
      <c r="G5" s="31"/>
      <c r="H5" s="31"/>
      <c r="I5" s="31"/>
      <c r="J5" s="31"/>
      <c r="K5" s="31"/>
      <c r="L5" s="31"/>
      <c r="M5" s="6"/>
      <c r="N5" s="1"/>
      <c r="O5" s="1"/>
      <c r="P5" s="1"/>
      <c r="Q5" s="1"/>
      <c r="R5" s="1"/>
      <c r="S5" s="1"/>
      <c r="T5" s="1"/>
      <c r="U5" s="1"/>
      <c r="V5" s="7"/>
      <c r="W5" s="1"/>
      <c r="X5" s="1"/>
      <c r="Y5" s="8"/>
      <c r="Z5" s="1"/>
      <c r="AA5" s="1"/>
      <c r="AB5" s="1"/>
      <c r="AC5" s="1"/>
    </row>
    <row r="6" spans="1:29" ht="12.75" x14ac:dyDescent="0.2">
      <c r="A6" s="1"/>
      <c r="B6" s="5"/>
      <c r="C6" s="31"/>
      <c r="D6" s="31"/>
      <c r="E6" s="31"/>
      <c r="F6" s="31"/>
      <c r="G6" s="31"/>
      <c r="H6" s="31"/>
      <c r="I6" s="31"/>
      <c r="J6" s="31"/>
      <c r="K6" s="31"/>
      <c r="L6" s="31"/>
      <c r="M6" s="6"/>
      <c r="N6" s="1"/>
      <c r="O6" s="1"/>
      <c r="P6" s="1"/>
      <c r="Q6" s="1"/>
      <c r="R6" s="1"/>
      <c r="S6" s="1"/>
      <c r="T6" s="1"/>
      <c r="U6" s="1"/>
      <c r="V6" s="7"/>
      <c r="W6" s="1"/>
      <c r="X6" s="1"/>
      <c r="Y6" s="8"/>
      <c r="Z6" s="1"/>
      <c r="AA6" s="1"/>
      <c r="AB6" s="1"/>
      <c r="AC6" s="1"/>
    </row>
    <row r="7" spans="1:29" ht="12.75" x14ac:dyDescent="0.2">
      <c r="A7" s="1"/>
      <c r="B7" s="5"/>
      <c r="C7" s="31"/>
      <c r="D7" s="31"/>
      <c r="E7" s="31"/>
      <c r="F7" s="31"/>
      <c r="G7" s="31"/>
      <c r="H7" s="31"/>
      <c r="I7" s="31"/>
      <c r="J7" s="31"/>
      <c r="K7" s="31"/>
      <c r="L7" s="31"/>
      <c r="M7" s="6"/>
      <c r="N7" s="1"/>
      <c r="O7" s="1"/>
      <c r="P7" s="1"/>
      <c r="Q7" s="1"/>
      <c r="R7" s="1"/>
      <c r="S7" s="1"/>
      <c r="T7" s="1"/>
      <c r="U7" s="1"/>
      <c r="V7" s="7" t="s">
        <v>4</v>
      </c>
      <c r="W7" s="1"/>
      <c r="X7" s="1"/>
      <c r="Y7" s="8">
        <v>36</v>
      </c>
      <c r="Z7" s="1"/>
      <c r="AA7" s="1"/>
      <c r="AB7" s="1"/>
      <c r="AC7" s="1"/>
    </row>
    <row r="8" spans="1:29" ht="12.75" x14ac:dyDescent="0.2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6"/>
      <c r="N8" s="1"/>
      <c r="O8" s="1"/>
      <c r="P8" s="1"/>
      <c r="Q8" s="1"/>
      <c r="R8" s="1"/>
      <c r="S8" s="1"/>
      <c r="T8" s="1"/>
      <c r="U8" s="1"/>
      <c r="V8" s="7" t="s">
        <v>5</v>
      </c>
      <c r="W8" s="1"/>
      <c r="X8" s="1"/>
      <c r="Y8" s="8">
        <v>48</v>
      </c>
      <c r="Z8" s="1"/>
      <c r="AA8" s="1"/>
      <c r="AB8" s="1"/>
      <c r="AC8" s="1"/>
    </row>
    <row r="9" spans="1:29" ht="18" x14ac:dyDescent="0.2">
      <c r="A9" s="1"/>
      <c r="B9" s="5"/>
      <c r="C9" s="9" t="s">
        <v>6</v>
      </c>
      <c r="D9" s="33" t="s">
        <v>2</v>
      </c>
      <c r="E9" s="31"/>
      <c r="F9" s="1"/>
      <c r="G9" s="5"/>
      <c r="H9" s="34" t="s">
        <v>7</v>
      </c>
      <c r="I9" s="35"/>
      <c r="J9" s="35"/>
      <c r="K9" s="35"/>
      <c r="L9" s="36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8">
        <v>60</v>
      </c>
      <c r="Z9" s="1"/>
      <c r="AA9" s="1"/>
      <c r="AB9" s="1"/>
      <c r="AC9" s="1"/>
    </row>
    <row r="10" spans="1:29" x14ac:dyDescent="0.2">
      <c r="A10" s="1"/>
      <c r="B10" s="5"/>
      <c r="C10" s="10"/>
      <c r="D10" s="11"/>
      <c r="E10" s="11"/>
      <c r="F10" s="1"/>
      <c r="G10" s="5"/>
      <c r="H10" s="37"/>
      <c r="I10" s="38"/>
      <c r="J10" s="38"/>
      <c r="K10" s="38"/>
      <c r="L10" s="39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8">
        <v>72</v>
      </c>
      <c r="Z10" s="1"/>
      <c r="AA10" s="1"/>
      <c r="AB10" s="1"/>
      <c r="AC10" s="1"/>
    </row>
    <row r="11" spans="1:29" ht="20.25" x14ac:dyDescent="0.2">
      <c r="A11" s="1"/>
      <c r="B11" s="5"/>
      <c r="C11" s="9" t="s">
        <v>8</v>
      </c>
      <c r="D11" s="40" t="s">
        <v>9</v>
      </c>
      <c r="E11" s="31"/>
      <c r="F11" s="1"/>
      <c r="G11" s="5"/>
      <c r="H11" s="11"/>
      <c r="I11" s="11"/>
      <c r="J11" s="11"/>
      <c r="K11" s="11"/>
      <c r="L11" s="1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8">
        <v>84</v>
      </c>
      <c r="Z11" s="1"/>
      <c r="AA11" s="1"/>
      <c r="AB11" s="1"/>
      <c r="AC11" s="1"/>
    </row>
    <row r="12" spans="1:29" ht="16.5" x14ac:dyDescent="0.2">
      <c r="A12" s="1"/>
      <c r="B12" s="5"/>
      <c r="C12" s="10"/>
      <c r="D12" s="11"/>
      <c r="E12" s="12"/>
      <c r="F12" s="1"/>
      <c r="G12" s="5"/>
      <c r="H12" s="13" t="s">
        <v>10</v>
      </c>
      <c r="I12" s="13" t="s">
        <v>7</v>
      </c>
      <c r="J12" s="13" t="s">
        <v>11</v>
      </c>
      <c r="K12" s="41">
        <v>84</v>
      </c>
      <c r="L12" s="26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1"/>
      <c r="B13" s="5"/>
      <c r="C13" s="9" t="s">
        <v>0</v>
      </c>
      <c r="D13" s="42" t="s">
        <v>12</v>
      </c>
      <c r="E13" s="26"/>
      <c r="F13" s="1"/>
      <c r="G13" s="5"/>
      <c r="H13" s="11"/>
      <c r="I13" s="11"/>
      <c r="J13" s="11"/>
      <c r="K13" s="11"/>
      <c r="L13" s="11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x14ac:dyDescent="0.2">
      <c r="A14" s="1"/>
      <c r="B14" s="5"/>
      <c r="C14" s="10"/>
      <c r="D14" s="11"/>
      <c r="E14" s="12"/>
      <c r="F14" s="1"/>
      <c r="G14" s="5"/>
      <c r="H14" s="12" t="s">
        <v>13</v>
      </c>
      <c r="I14" s="46" t="str">
        <f>IFERROR(VLOOKUP($D$13,#REF!,7,FALSE),"no existe")</f>
        <v>no existe</v>
      </c>
      <c r="J14" s="44"/>
      <c r="K14" s="26"/>
      <c r="L14" s="1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1"/>
      <c r="B15" s="5"/>
      <c r="C15" s="9" t="s">
        <v>14</v>
      </c>
      <c r="D15" s="27" t="str">
        <f>IFERROR(VLOOKUP($D$13,#REF!,2,FALSE),"no existe")</f>
        <v>no existe</v>
      </c>
      <c r="E15" s="26"/>
      <c r="F15" s="1"/>
      <c r="G15" s="5"/>
      <c r="H15" s="11"/>
      <c r="I15" s="11"/>
      <c r="J15" s="11"/>
      <c r="K15" s="11"/>
      <c r="L15" s="1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1.5" x14ac:dyDescent="0.2">
      <c r="A16" s="1"/>
      <c r="B16" s="5"/>
      <c r="C16" s="14"/>
      <c r="D16" s="15"/>
      <c r="E16" s="11"/>
      <c r="F16" s="1"/>
      <c r="G16" s="5"/>
      <c r="H16" s="16" t="s">
        <v>15</v>
      </c>
      <c r="I16" s="43">
        <v>4000</v>
      </c>
      <c r="J16" s="44"/>
      <c r="K16" s="26"/>
      <c r="L16" s="1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x14ac:dyDescent="0.2">
      <c r="A17" s="1"/>
      <c r="B17" s="5"/>
      <c r="C17" s="12" t="s">
        <v>16</v>
      </c>
      <c r="D17" s="25" t="str">
        <f>IFERROR(VLOOKUP($D$13,#REF!,3,FALSE),"no existe")</f>
        <v>no existe</v>
      </c>
      <c r="E17" s="26"/>
      <c r="F17" s="1"/>
      <c r="G17" s="5"/>
      <c r="H17" s="11"/>
      <c r="I17" s="11"/>
      <c r="J17" s="11"/>
      <c r="K17" s="11"/>
      <c r="L17" s="1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x14ac:dyDescent="0.2">
      <c r="A18" s="1"/>
      <c r="B18" s="5"/>
      <c r="C18" s="14"/>
      <c r="D18" s="15"/>
      <c r="E18" s="11"/>
      <c r="F18" s="1"/>
      <c r="G18" s="5"/>
      <c r="H18" s="9" t="s">
        <v>17</v>
      </c>
      <c r="I18" s="45" t="e">
        <f>I14-I16</f>
        <v>#VALUE!</v>
      </c>
      <c r="J18" s="44"/>
      <c r="K18" s="26"/>
      <c r="L18" s="11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1"/>
      <c r="B19" s="5"/>
      <c r="C19" s="12" t="s">
        <v>18</v>
      </c>
      <c r="D19" s="27" t="str">
        <f>IFERROR(VLOOKUP($D$13,#REF!,4,FALSE),"no existe")</f>
        <v>no existe</v>
      </c>
      <c r="E19" s="26"/>
      <c r="F19" s="1"/>
      <c r="G19" s="5"/>
      <c r="H19" s="11"/>
      <c r="I19" s="11"/>
      <c r="J19" s="11"/>
      <c r="K19" s="11"/>
      <c r="L19" s="11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1"/>
      <c r="B20" s="5"/>
      <c r="C20" s="10"/>
      <c r="D20" s="11"/>
      <c r="E20" s="12"/>
      <c r="F20" s="1"/>
      <c r="G20" s="5"/>
      <c r="H20" s="17" t="s">
        <v>19</v>
      </c>
      <c r="I20" s="47">
        <v>6000</v>
      </c>
      <c r="J20" s="44"/>
      <c r="K20" s="26"/>
      <c r="L20" s="11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1"/>
      <c r="B21" s="5"/>
      <c r="C21" s="9" t="s">
        <v>20</v>
      </c>
      <c r="D21" s="27" t="str">
        <f>IFERROR(VLOOKUP($D$13,#REF!,6,FALSE),"no existe")</f>
        <v>no existe</v>
      </c>
      <c r="E21" s="26"/>
      <c r="F21" s="1"/>
      <c r="G21" s="5"/>
      <c r="H21" s="1"/>
      <c r="I21" s="1"/>
      <c r="J21" s="1"/>
      <c r="K21" s="1"/>
      <c r="L21" s="1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0.25" x14ac:dyDescent="0.2">
      <c r="A22" s="1"/>
      <c r="B22" s="5"/>
      <c r="C22" s="9"/>
      <c r="D22" s="9"/>
      <c r="E22" s="12"/>
      <c r="F22" s="1"/>
      <c r="G22" s="5"/>
      <c r="H22" s="17" t="s">
        <v>21</v>
      </c>
      <c r="I22" s="48" t="e">
        <f>(I14-I16-I20)/K12</f>
        <v>#VALUE!</v>
      </c>
      <c r="J22" s="44"/>
      <c r="K22" s="26"/>
      <c r="L22" s="1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1"/>
      <c r="B23" s="5"/>
      <c r="C23" s="9" t="s">
        <v>22</v>
      </c>
      <c r="D23" s="28" t="str">
        <f>IFERROR(VLOOKUP($D$13,#REF!,5,FALSE),"no existe")</f>
        <v>no existe</v>
      </c>
      <c r="E23" s="26"/>
      <c r="F23" s="1"/>
      <c r="G23" s="5"/>
      <c r="H23" s="1"/>
      <c r="I23" s="1"/>
      <c r="J23" s="1"/>
      <c r="K23" s="1"/>
      <c r="L23" s="1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1"/>
      <c r="B24" s="5"/>
      <c r="C24" s="12"/>
      <c r="D24" s="1"/>
      <c r="E24" s="1"/>
      <c r="F24" s="1"/>
      <c r="G24" s="5"/>
      <c r="H24" s="34" t="s">
        <v>23</v>
      </c>
      <c r="I24" s="35"/>
      <c r="J24" s="35"/>
      <c r="K24" s="35"/>
      <c r="L24" s="36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x14ac:dyDescent="0.2">
      <c r="A25" s="1"/>
      <c r="B25" s="5"/>
      <c r="C25" s="18" t="s">
        <v>24</v>
      </c>
      <c r="D25" s="29">
        <v>46186</v>
      </c>
      <c r="E25" s="26"/>
      <c r="F25" s="1"/>
      <c r="G25" s="5"/>
      <c r="H25" s="37"/>
      <c r="I25" s="38"/>
      <c r="J25" s="38"/>
      <c r="K25" s="38"/>
      <c r="L25" s="39"/>
      <c r="M25" s="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1"/>
      <c r="B26" s="5"/>
      <c r="C26" s="19"/>
      <c r="D26" s="20"/>
      <c r="E26" s="9"/>
      <c r="F26" s="1"/>
      <c r="G26" s="5"/>
      <c r="H26" s="11"/>
      <c r="I26" s="11"/>
      <c r="J26" s="11"/>
      <c r="K26" s="11"/>
      <c r="L26" s="11"/>
      <c r="M26" s="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1"/>
      <c r="B27" s="5"/>
      <c r="C27" s="30"/>
      <c r="D27" s="31"/>
      <c r="E27" s="31"/>
      <c r="F27" s="1"/>
      <c r="G27" s="5"/>
      <c r="H27" s="12" t="s">
        <v>13</v>
      </c>
      <c r="I27" s="49" t="str">
        <f>IFERROR(VLOOKUP($D$13,#REF!,7,FALSE),"no existe")</f>
        <v>no existe</v>
      </c>
      <c r="J27" s="44"/>
      <c r="K27" s="26"/>
      <c r="L27" s="11"/>
      <c r="M27" s="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x14ac:dyDescent="0.2">
      <c r="A28" s="1"/>
      <c r="B28" s="5"/>
      <c r="C28" s="31"/>
      <c r="D28" s="31"/>
      <c r="E28" s="31"/>
      <c r="F28" s="1"/>
      <c r="G28" s="5"/>
      <c r="H28" s="1"/>
      <c r="I28" s="1"/>
      <c r="J28" s="11"/>
      <c r="K28" s="1"/>
      <c r="L28" s="1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1"/>
      <c r="B29" s="5"/>
      <c r="C29" s="31"/>
      <c r="D29" s="31"/>
      <c r="E29" s="31"/>
      <c r="F29" s="1"/>
      <c r="G29" s="5"/>
      <c r="H29" s="12" t="s">
        <v>25</v>
      </c>
      <c r="I29" s="43">
        <v>8000</v>
      </c>
      <c r="J29" s="44"/>
      <c r="K29" s="26"/>
      <c r="L29" s="11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x14ac:dyDescent="0.2">
      <c r="A30" s="1"/>
      <c r="B30" s="5"/>
      <c r="C30" s="31"/>
      <c r="D30" s="31"/>
      <c r="E30" s="31"/>
      <c r="F30" s="1"/>
      <c r="G30" s="5"/>
      <c r="H30" s="11"/>
      <c r="I30" s="11"/>
      <c r="J30" s="11"/>
      <c r="K30" s="11"/>
      <c r="L30" s="1"/>
      <c r="M30" s="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1"/>
      <c r="B31" s="21"/>
      <c r="C31" s="31"/>
      <c r="D31" s="31"/>
      <c r="E31" s="31"/>
      <c r="F31" s="1"/>
      <c r="G31" s="5"/>
      <c r="H31" s="9" t="s">
        <v>26</v>
      </c>
      <c r="I31" s="45" t="e">
        <f>I27-I29</f>
        <v>#VALUE!</v>
      </c>
      <c r="J31" s="44"/>
      <c r="K31" s="26"/>
      <c r="L31" s="11"/>
      <c r="M31" s="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x14ac:dyDescent="0.2">
      <c r="A32" s="1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hidden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hidden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hidden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hidden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hidden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hidden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hidden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hidden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hidden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hidden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hidden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hidden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hidden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hidden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hidden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hidden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hidden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hidden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hidden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hidden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hidden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hidden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hidden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hidden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hidden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hidden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hidden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hidden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hidden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hidden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hidden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hidden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hidden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hidden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hidden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hidden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hidden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hidden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hidden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hidden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hidden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hidden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hidden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hidden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hidden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hidden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hidden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hidden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hidden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hidden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hidden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hidden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hidden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hidden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hidden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hidden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hidden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hidden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hidden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hidden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hidden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hidden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hidden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hidden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hidden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hidden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hidden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hidden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hidden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hidden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hidden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hidden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hidden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hidden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hidden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hidden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hidden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hidden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hidden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hidden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hidden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hidden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hidden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hidden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hidden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hidden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hidden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hidden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hidden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hidden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hidden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hidden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hidden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hidden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hidden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2.75" hidden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2.75" hidden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2.75" hidden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2.75" hidden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2.75" hidden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2.75" hidden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2.75" hidden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2.75" hidden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2.75" hidden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2.75" hidden="1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2.75" hidden="1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</sheetData>
  <mergeCells count="22">
    <mergeCell ref="I27:K27"/>
    <mergeCell ref="C27:E31"/>
    <mergeCell ref="C3:L7"/>
    <mergeCell ref="D9:E9"/>
    <mergeCell ref="H9:L10"/>
    <mergeCell ref="D11:E11"/>
    <mergeCell ref="K12:L12"/>
    <mergeCell ref="D13:E13"/>
    <mergeCell ref="D15:E15"/>
    <mergeCell ref="I29:K29"/>
    <mergeCell ref="I31:K31"/>
    <mergeCell ref="I14:K14"/>
    <mergeCell ref="I16:K16"/>
    <mergeCell ref="I18:K18"/>
    <mergeCell ref="I20:K20"/>
    <mergeCell ref="I22:K22"/>
    <mergeCell ref="H24:L25"/>
    <mergeCell ref="D17:E17"/>
    <mergeCell ref="D19:E19"/>
    <mergeCell ref="D21:E21"/>
    <mergeCell ref="D23:E23"/>
    <mergeCell ref="D25:E25"/>
  </mergeCells>
  <dataValidations count="2">
    <dataValidation type="list" allowBlank="1" showErrorMessage="1" sqref="K12" xr:uid="{00000000-0002-0000-0100-000000000000}">
      <formula1>$Y$3:$Y$11</formula1>
    </dataValidation>
    <dataValidation type="list" allowBlank="1" showErrorMessage="1" sqref="D9" xr:uid="{00000000-0002-0000-0100-000001000000}">
      <formula1>"DIXON GUERRA,ELIZBETH VILLANUEVA,LISET MARTINEZ,YVONNE MONTOYA"</formula1>
    </dataValidation>
  </dataValidations>
  <printOptions horizontalCentered="1" gridLines="1"/>
  <pageMargins left="0" right="0.72748019547632436" top="0.75" bottom="0.75" header="0" footer="0"/>
  <pageSetup paperSize="9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Lozada</dc:creator>
  <cp:lastModifiedBy>Sergi Lozada</cp:lastModifiedBy>
  <dcterms:created xsi:type="dcterms:W3CDTF">2026-06-12T17:24:16Z</dcterms:created>
  <dcterms:modified xsi:type="dcterms:W3CDTF">2026-06-12T17:24:16Z</dcterms:modified>
</cp:coreProperties>
</file>